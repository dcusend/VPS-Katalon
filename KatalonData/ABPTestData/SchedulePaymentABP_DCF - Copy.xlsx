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029"/>
  <workbookPr/>
  <mc:AlternateContent>
    <mc:Choice Requires="x15">
      <x15ac:absPath xmlns:x15ac="http://schemas.microsoft.com/office/spreadsheetml/2010/11/ac" url="C:\Users\t470258\Documents\VPS-Katalon\KatalonData\ABPTestData\"/>
    </mc:Choice>
  </mc:AlternateContent>
  <xr:revisionPtr documentId="13_ncr:1_{72EFFD55-DDD0-4A78-84EB-881434FE56BC}" revIDLastSave="0" xr10:uidLastSave="{00000000-0000-0000-0000-000000000000}" xr6:coauthVersionLast="47" xr6:coauthVersionMax="47"/>
  <bookViews>
    <workbookView activeTab="9" firstSheet="7" windowHeight="11500" windowWidth="19420" xWindow="-110" xr2:uid="{00000000-000D-0000-FFFF-FFFF00000000}" yWindow="-110"/>
  </bookViews>
  <sheets>
    <sheet name="CVCSPDCFCorp_IPDailyNOP" r:id="rId1" sheetId="1"/>
    <sheet name="CVCSPDCFPS_IPDailyIA" r:id="rId2" sheetId="4"/>
    <sheet name="CVCSPDCFCorp_IPDailyIA" r:id="rId3" sheetId="5"/>
    <sheet name="CVCSPDCFPS_IPDeferred" r:id="rId4" sheetId="6"/>
    <sheet name="CVCSPDCFCorp_IPDeferred" r:id="rId5" sheetId="7"/>
    <sheet name="CVCSPDCFPS_RecDeferred" r:id="rId6" sheetId="8"/>
    <sheet name="CVCSPDCFCorp_RecDeferred" r:id="rId7" sheetId="9"/>
    <sheet name="CVCSPDCFPS_RecDaily" r:id="rId8" sheetId="10"/>
    <sheet name="CVCSPDCFCorp_RecDaily" r:id="rId9" sheetId="11"/>
    <sheet name="CVCSPDCFPS_IPDailyNOP" r:id="rId10" sheetId="1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i="12" l="1" r="L2"/>
  <c i="12" r="P2" s="1"/>
  <c i="12" r="O2" s="1"/>
  <c i="12" r="G2"/>
  <c i="10" r="G2"/>
  <c i="10" r="L2"/>
  <c i="11" r="L2"/>
  <c i="11" r="G2"/>
  <c i="11" r="P2"/>
  <c i="10" r="P2"/>
  <c i="8" r="L2"/>
  <c i="8" r="G2"/>
  <c i="8" r="P2"/>
  <c i="9" r="G2"/>
  <c i="9" r="L2"/>
  <c i="9" r="P2" s="1"/>
  <c i="7" r="G2"/>
  <c i="7" r="L2"/>
  <c i="7" r="P2" s="1"/>
  <c i="7" r="O2" s="1"/>
  <c i="6" r="L2"/>
  <c i="6" r="G2"/>
  <c i="6" r="P2"/>
  <c i="4" r="L2"/>
  <c i="4" r="P2" s="1"/>
  <c i="5" r="L2"/>
  <c i="5" r="G2"/>
  <c i="5" r="P2"/>
  <c i="5" r="O2" s="1"/>
  <c i="4" r="G2"/>
  <c i="1" r="L2"/>
  <c i="1" r="P2" s="1"/>
  <c i="1" r="O2" s="1"/>
  <c i="1" r="G2"/>
  <c i="11" l="1" r="O2"/>
  <c i="10" r="O2"/>
  <c i="8" r="O2"/>
  <c i="9" r="O2"/>
  <c i="6" r="O2"/>
  <c i="4" r="O2"/>
</calcChain>
</file>

<file path=xl/sharedStrings.xml><?xml version="1.0" encoding="utf-8"?>
<sst xmlns="http://schemas.openxmlformats.org/spreadsheetml/2006/main" count="647" uniqueCount="94">
  <si>
    <t>Result</t>
  </si>
  <si>
    <t>Date</t>
  </si>
  <si>
    <t>Notes</t>
  </si>
  <si>
    <t>Execute</t>
  </si>
  <si>
    <t>Amount</t>
  </si>
  <si>
    <t>UDFID</t>
  </si>
  <si>
    <t>PaymentMethod</t>
  </si>
  <si>
    <t>PaymentPlanType</t>
  </si>
  <si>
    <t>PaymentPlanFrequency</t>
  </si>
  <si>
    <t>DivideYourPaymentPlan</t>
  </si>
  <si>
    <t>VTList1</t>
  </si>
  <si>
    <t>CFAmount</t>
  </si>
  <si>
    <t>VTList</t>
  </si>
  <si>
    <t>ReviewConvinienceFee</t>
  </si>
  <si>
    <t>Pass</t>
  </si>
  <si>
    <t>Y</t>
  </si>
  <si>
    <t>10.50</t>
  </si>
  <si>
    <t>1</t>
  </si>
  <si>
    <t>InstallmentPlan</t>
  </si>
  <si>
    <t>Daily</t>
  </si>
  <si>
    <t>NumberOfPayments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</si>
  <si>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Installment Plan,
Payment Plan Duration:,	Daily,
Payment Plan Start Date:,	
4. Payment Plan,1 Daily payment of $</t>
  </si>
  <si>
    <t>Mon Sep 15 19:17:40 IST 2025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</si>
  <si>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****4974,
Account Number:	,****8307,
Billing Address:,	1853 Mandan Terace,
Greenbelt, Maryland MD 20770,
Country:,	UNITED STATES,
Account Type:,	Personal Savings,
3. Payment Plan Information,
Payment Plan Type:,	Installment Plan,
Payment Plan Duration:,	Daily,
Payment Plan Start Date:,	
4. Payment Plan,1 Daily payment of $</t>
  </si>
  <si>
    <t>Mon Sep 15 19:27:26 IST 2025</t>
  </si>
  <si>
    <t>IndividualAmount</t>
  </si>
  <si>
    <t>Mon Sep 15 19:41:29 IST 2025</t>
  </si>
  <si>
    <t>Mon Sep 15 19:43:55 IST 2025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</si>
  <si>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Number:,****4974,
Account Number:,****8307,
Billing Address:,	1853 Mandan Terace,
Greenbelt, Maryland MD 20770,
Country:,	UNITED STATES,
Account Type:,	Personal Savings,
3. Payment Plan Information,
Payment Plan Type:,	Installment Plan,
Payment Plan Duration:,	Daily,
Payment Plan Start Date:,	
4. Payment Plan,1 Daily payment of $</t>
  </si>
  <si>
    <t>Deferred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</si>
  <si>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Number:,****4974,
Account Number:,	****8307,
Billing Address:,	1853 Mandan Terace,
Greenbelt, Maryland MD 20770,
Country:,	UNITED STATES,
Account Type:,	Personal Savings,
3. Payment Plan Information,
Payment Plan Type:,	Installment Plan,
Payment Plan Duration:,	Deferred,
Payment Plan Start Date:,	
4. Payment Plan,1 Deferred payment of $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</si>
  <si>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Installment Plan,
Payment Plan Duration:,	Deferred,
Payment Plan Start Date:,	
4. Payment Plan,1 Deferred payment of $</t>
  </si>
  <si>
    <t>Mon Sep 15 19:56:51 IST 2025</t>
  </si>
  <si>
    <t>Mon Sep 15 19:58:51 IST 2025</t>
  </si>
  <si>
    <t>RecurringAmount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</si>
  <si>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Recurring,
Payment Plan Duration:,	Deferred,
Payment Plan Start Date:,	
4. Payment Plan,1 Deferred payment of $</t>
  </si>
  <si>
    <t>Mon Sep 15 20:09:19 IST 2025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</si>
  <si>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****4974,
Account Number:,	****8307,
Billing Address:,	1853 Mandan Terace,
Greenbelt, Maryland MD 20770,
Country:,	UNITED STATES,
Account Type:,	Personal Savings,
3. Payment Plan Information,
Payment Plan Type:,	Recurring,
Payment Plan Duration:,	Deferred,
Payment Plan Start Date:,	
4. Payment Plan,1 Deferred payment of $</t>
  </si>
  <si>
    <t>Mon Sep 15 20:12:12 IST 2025</t>
  </si>
  <si>
    <t>Mon Sep 15 20:24:14 IST 2025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</si>
  <si>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****4974,
Account Number:,	****8307,
Billing Address:,	1853 Mandan Terace,
Greenbelt, Maryland MD 20770,
Country:,	UNITED STATES,
Account Type:,	Personal Savings,
3. Payment Plan Information,
Payment Plan Type:,	Recurring,
Payment Plan Duration:,	Daily,
Payment Plan Start Date:,	
4. Payment Plan, Daily payments of $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</si>
  <si>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Recurring,
Payment Plan Duration:,	Daily,
Payment Plan Start Date:,	
4. Payment Plan, Daily payments of $</t>
  </si>
  <si>
    <t>Mon Sep 15 20:30:18 IST 2025</t>
  </si>
  <si>
    <t/>
  </si>
  <si>
    <t>Mon Nov 03 22:01:29 IST 2025</t>
  </si>
  <si>
    <t>Tue Nov 04 19:04:54 IST 2025</t>
  </si>
  <si>
    <t>Tue Nov 04 19:12:59 IST 2025</t>
  </si>
  <si>
    <t>Tue Nov 04 19:16:42 IST 2025</t>
  </si>
  <si>
    <t>Tue Nov 04 19:19:14 IST 2025</t>
  </si>
  <si>
    <t>Tue Nov 04 19:26:35 IST 2025</t>
  </si>
  <si>
    <t>Tue Nov 04 19:38:24 IST 2025</t>
  </si>
  <si>
    <t>Tue Nov 04 19:40:54 IST 2025</t>
  </si>
  <si>
    <t>Tue Nov 04 19:43:40 IST 2025</t>
  </si>
  <si>
    <t>Tue Nov 04 19:46:20 IST 2025</t>
  </si>
  <si>
    <t>Mon Nov 17 16:43:01 IST 2025</t>
  </si>
  <si>
    <t>Mon Nov 17 16:46:20 IST 2025</t>
  </si>
  <si>
    <t>Mon Nov 17 16:53:44 IST 2025</t>
  </si>
  <si>
    <t>Mon Nov 17 16:57:28 IST 2025</t>
  </si>
  <si>
    <t>Mon Nov 17 17:06:14 IST 2025</t>
  </si>
  <si>
    <t>Fri Dec 26 20:31:42 IST 2025</t>
  </si>
  <si>
    <t>Fri Dec 26 20:33:34 IST 2025</t>
  </si>
  <si>
    <t>Fri Dec 26 20:35:26 IST 2025</t>
  </si>
  <si>
    <t>Fri Dec 26 20:36:56 IST 2025</t>
  </si>
  <si>
    <t>Fri Dec 26 20:38:36 IST 2025</t>
  </si>
  <si>
    <t>Fri Dec 26 20:49:43 IST 2025</t>
  </si>
  <si>
    <t>Fri Dec 26 20:52:18 IST 2025</t>
  </si>
  <si>
    <t>Fri Dec 26 20:53:54 IST 2025</t>
  </si>
  <si>
    <t>Fri Dec 26 20:55:24 IST 2025</t>
  </si>
  <si>
    <t>Fri Dec 26 20:56:47 IST 2025</t>
  </si>
  <si>
    <t>Fri Jan 09 17:08:12 IST 2026</t>
  </si>
  <si>
    <t>Tue Mar 10 02:45:07 IST 2026</t>
  </si>
  <si>
    <t>Tue Mar 10 02:46:58 IST 2026</t>
  </si>
  <si>
    <t>Tue Mar 10 02:48:42 IST 2026</t>
  </si>
  <si>
    <t>Tue Mar 10 02:50:10 IST 2026</t>
  </si>
  <si>
    <t>Tue Mar 10 02:51:33 IST 2026</t>
  </si>
  <si>
    <t>Tue Mar 10 03:01:05 IST 2026</t>
  </si>
  <si>
    <t>Tue Mar 10 03:02:48 IST 2026</t>
  </si>
  <si>
    <t>Tue Mar 10 03:04:14 IST 2026</t>
  </si>
  <si>
    <t>Tue Mar 10 03:05:42 IST 2026</t>
  </si>
  <si>
    <t>Tue Mar 10 03:07:04 IST 2026</t>
  </si>
  <si>
    <t>Tue Mar 10 22:46:23 IST 2026</t>
  </si>
  <si>
    <t>Tue Jun 02 11:18:52 IST 2026</t>
  </si>
  <si>
    <t>Tue Jun 02 11:20:43 IST 2026</t>
  </si>
  <si>
    <t>Tue Jun 02 11:22:35 IST 2026</t>
  </si>
  <si>
    <t>Tue Jun 02 11:24:01 IST 2026</t>
  </si>
  <si>
    <t>Tue Jun 02 11:25:28 IST 2026</t>
  </si>
  <si>
    <t>Tue Jun 02 11:37:05 IST 2026</t>
  </si>
  <si>
    <t>Tue Jun 02 11:38:39 IST 2026</t>
  </si>
  <si>
    <t>Tue Jun 02 11:40:09 IST 2026</t>
  </si>
  <si>
    <t>Tue Jun 02 11:41:48 IST 2026</t>
  </si>
  <si>
    <t>Tue Jun 02 11:44:19 IST 2026</t>
  </si>
  <si>
    <t>Fri Jun 05 18:57:41 IST 2026</t>
  </si>
  <si>
    <t>Fri Jun 05 20:13:32 IST 2026</t>
  </si>
  <si>
    <t>Fri Jun 05 21:38:28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</si>
</sst>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borderId="0" fillId="0" fontId="0" numFmtId="0"/>
  </cellStyleXfs>
  <cellXfs count="11">
    <xf borderId="0" fillId="0" fontId="0" numFmtId="0" xfId="0"/>
    <xf applyAlignment="1" applyBorder="1" applyNumberFormat="1" borderId="1" fillId="0" fontId="0" numFmtId="49" xfId="0">
      <alignment wrapText="1"/>
    </xf>
    <xf applyAlignment="1" applyFont="1" borderId="0" fillId="0" fontId="1" numFmtId="0" xfId="0">
      <alignment vertical="center"/>
    </xf>
    <xf applyAlignment="1" applyBorder="1" applyNumberFormat="1" borderId="2" fillId="0" fontId="0" numFmtId="49" xfId="0">
      <alignment wrapText="1"/>
    </xf>
    <xf applyAlignment="1" applyBorder="1" borderId="1" fillId="0" fontId="0" numFmtId="0" xfId="0">
      <alignment vertical="top" wrapText="1"/>
    </xf>
    <xf applyAlignment="1" applyBorder="1" applyNumberFormat="1" borderId="1" fillId="0" fontId="0" numFmtId="49" xfId="0">
      <alignment vertical="top" wrapText="1"/>
    </xf>
    <xf applyAlignment="1" borderId="0" fillId="0" fontId="0" numFmtId="0" xfId="0">
      <alignment vertical="top" wrapText="1"/>
    </xf>
    <xf applyAlignment="1" applyNumberFormat="1" borderId="0" fillId="0" fontId="0" numFmtId="164" xfId="0">
      <alignment vertical="top" wrapText="1"/>
    </xf>
    <xf applyAlignment="1" applyNumberFormat="1" borderId="0" fillId="0" fontId="0" numFmtId="2" xfId="0">
      <alignment vertical="top" wrapText="1"/>
    </xf>
    <xf applyAlignment="1" borderId="0" fillId="0" fontId="0" numFmtId="0" xfId="0">
      <alignment horizontal="center" vertical="top" wrapText="1"/>
    </xf>
    <xf applyAlignment="1" borderId="0" fillId="0" fontId="0" numFmtId="0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opLeftCell="A2" workbookViewId="0">
      <selection sqref="A1:A2"/>
    </sheetView>
  </sheetViews>
  <sheetFormatPr defaultRowHeight="14.5" x14ac:dyDescent="0.35"/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>
        <v>14</v>
      </c>
      <c r="B2" t="s">
        <v>82</v>
      </c>
      <c r="C2" s="4"/>
      <c r="D2" s="5" t="s">
        <v>15</v>
      </c>
      <c r="E2" s="5" t="s">
        <v>16</v>
      </c>
      <c r="F2" s="5" t="s">
        <v>17</v>
      </c>
      <c r="G2" t="str">
        <f>"Smith"</f>
        <v>Smith</v>
      </c>
      <c r="H2" t="s">
        <v>18</v>
      </c>
      <c r="I2" t="s">
        <v>19</v>
      </c>
      <c r="J2" t="s">
        <v>20</v>
      </c>
      <c r="K2" s="6" t="s">
        <v>21</v>
      </c>
      <c r="L2" s="6" t="str">
        <f ca="1">TEXT(TODAY()+1,"mm/dd/yyyy")</f>
        <v>11/04/2025</v>
      </c>
      <c r="M2" s="7">
        <v>10</v>
      </c>
      <c r="N2" s="8">
        <v>10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Installment Plan,
Payment Plan Duration:,	Daily,
Payment Plan Start Date:,	
4. Payment Plan,1 Daily payment of $10.00 on 11/04/2025,A Convenience Fee will be added to each transaction issued for 1 Daily payment of 10.00 starting on 11/04/2025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10.00 starting on 11/04/2025 ,Individual Convenience Fee Amount:,	
Total Convenience Fees Paid:,	
Total Paid under this plan: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416F-EAD8-4226-BA0B-0AD26ABF0604}">
  <dimension ref="A1:Q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4.81640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>
        <v>14</v>
      </c>
      <c r="B2" t="s">
        <v>86</v>
      </c>
      <c r="C2" s="4"/>
      <c r="D2" s="5" t="s">
        <v>15</v>
      </c>
      <c r="E2" s="5" t="s">
        <v>16</v>
      </c>
      <c r="F2" s="5" t="s">
        <v>17</v>
      </c>
      <c r="G2" t="str">
        <f>"CarlosJacinta"</f>
        <v>CarlosJacinta</v>
      </c>
      <c r="H2" t="s">
        <v>18</v>
      </c>
      <c r="I2" t="s">
        <v>19</v>
      </c>
      <c r="J2" t="s">
        <v>25</v>
      </c>
      <c r="K2" s="6" t="s">
        <v>28</v>
      </c>
      <c r="L2" s="6" t="str">
        <f ca="1">TEXT(TODAY()+1,"mm/dd/yyyy")</f>
        <v>11/04/2025</v>
      </c>
      <c r="M2" s="7">
        <v>10</v>
      </c>
      <c r="N2" s="8">
        <v>5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Number:,****4974,
Account Number:,****8307,
Billing Address:,	1853 Mandan Terace,
Greenbelt, Maryland MD 20770,
Country:,	UNITED STATES,
Account Type:,	Personal Savings,
3. Payment Plan Information,
Payment Plan Type:,	Installment Plan,
Payment Plan Duration:,	Daily,
Payment Plan Start Date:,	
4. Payment Plan,1 Daily payment of $10.00 on 11/04/2025,A Convenience Fee will be added to each transaction issued for 1 Daily payment of 5.00 starting on 11/04/2025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5.00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7C80-3096-4B80-A8BF-99672E759DAB}">
  <dimension ref="A1:Q2"/>
  <sheetViews>
    <sheetView topLeftCell="A2" workbookViewId="0">
      <selection activeCell="K2" sqref="K2"/>
    </sheetView>
  </sheetViews>
  <sheetFormatPr defaultRowHeight="14.5" x14ac:dyDescent="0.35"/>
  <cols>
    <col min="11" max="11" customWidth="true" width="31.36328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>
        <v>14</v>
      </c>
      <c r="B2" t="s">
        <v>81</v>
      </c>
      <c r="C2" s="4"/>
      <c r="D2" s="5" t="s">
        <v>15</v>
      </c>
      <c r="E2" s="5" t="s">
        <v>16</v>
      </c>
      <c r="F2" s="5" t="s">
        <v>17</v>
      </c>
      <c r="G2" t="str">
        <f>"Smith"</f>
        <v>Smith</v>
      </c>
      <c r="H2" t="s">
        <v>18</v>
      </c>
      <c r="I2" t="s">
        <v>19</v>
      </c>
      <c r="J2" t="s">
        <v>25</v>
      </c>
      <c r="K2" s="6" t="s">
        <v>21</v>
      </c>
      <c r="L2" s="6" t="str">
        <f ca="1">TEXT(TODAY()+1,"mm/dd/yyyy")</f>
        <v>11/04/2025</v>
      </c>
      <c r="M2" s="7">
        <v>10</v>
      </c>
      <c r="N2" s="8">
        <v>10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Installment Plan,
Payment Plan Duration:,	Daily,
Payment Plan Start Date:,	
4. Payment Plan,1 Daily payment of $10.00 on 11/04/2025,A Convenience Fee will be added to each transaction issued for 1 Daily payment of 10.00 starting on 11/04/2025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10.00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B6E-BC66-4CE5-A0EA-21E31C3C1269}">
  <dimension ref="A1:Q2"/>
  <sheetViews>
    <sheetView topLeftCell="A2" workbookViewId="0">
      <selection sqref="A1:P2"/>
    </sheetView>
  </sheetViews>
  <sheetFormatPr defaultRowHeight="14.5" x14ac:dyDescent="0.35"/>
  <cols>
    <col min="11" max="11" customWidth="true" width="27.6328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>
        <v>14</v>
      </c>
      <c r="B2" t="s">
        <v>88</v>
      </c>
      <c r="C2" s="4"/>
      <c r="D2" s="5" t="s">
        <v>15</v>
      </c>
      <c r="E2" s="5" t="s">
        <v>16</v>
      </c>
      <c r="F2" s="5" t="s">
        <v>17</v>
      </c>
      <c r="G2" t="str">
        <f>"CarlosJacinta"</f>
        <v>CarlosJacinta</v>
      </c>
      <c r="H2" t="s">
        <v>18</v>
      </c>
      <c r="I2" t="s">
        <v>29</v>
      </c>
      <c r="J2" t="s">
        <v>20</v>
      </c>
      <c r="K2" s="6" t="s">
        <v>30</v>
      </c>
      <c r="L2" s="6" t="str">
        <f ca="1">TEXT(TODAY()+1,"mm/dd/yyyy")</f>
        <v>11/04/2025</v>
      </c>
      <c r="M2" s="7">
        <v>10</v>
      </c>
      <c r="N2" s="8">
        <v>5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Number:,****4974,
Account Number:,	****8307,
Billing Address:,	1853 Mandan Terace,
Greenbelt, Maryland MD 20770,
Country:,	UNITED STATES,
Account Type:,	Personal Savings,
3. Payment Plan Information,
Payment Plan Type:,	Installment Plan,
Payment Plan Duration:,	Deferred,
Payment Plan Start Date:,	
4. Payment Plan,1 Deferred payment of $10.00 on 11/04/2025,A Convenience Fee will be added to each transaction issued for 1 Deferred payment of 5.00 starting on 11/04/2025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5.00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A858-8568-405F-B1FE-A4DB3A2B6FAB}">
  <dimension ref="A1:Q2"/>
  <sheetViews>
    <sheetView topLeftCell="A2" workbookViewId="0">
      <selection activeCell="N2" sqref="N2"/>
    </sheetView>
  </sheetViews>
  <sheetFormatPr defaultRowHeight="14.5" x14ac:dyDescent="0.35"/>
  <cols>
    <col min="11" max="11" customWidth="true" width="24.7265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>
        <v>14</v>
      </c>
      <c r="B2" t="s">
        <v>83</v>
      </c>
      <c r="C2" s="4"/>
      <c r="D2" s="5" t="s">
        <v>15</v>
      </c>
      <c r="E2" s="5" t="s">
        <v>16</v>
      </c>
      <c r="F2" s="5" t="s">
        <v>17</v>
      </c>
      <c r="G2" t="str">
        <f>"Smith"</f>
        <v>Smith</v>
      </c>
      <c r="H2" t="s">
        <v>18</v>
      </c>
      <c r="I2" t="s">
        <v>29</v>
      </c>
      <c r="J2" t="s">
        <v>20</v>
      </c>
      <c r="K2" s="6" t="s">
        <v>31</v>
      </c>
      <c r="L2" s="6" t="str">
        <f ca="1">TEXT(TODAY()+1,"mm/dd/yyyy")</f>
        <v>11/04/2025</v>
      </c>
      <c r="M2" s="7">
        <v>10</v>
      </c>
      <c r="N2" s="8">
        <v>10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Installment Plan,
Payment Plan Duration:,	Deferred,
Payment Plan Start Date:,	
4. Payment Plan,1 Deferred payment of $10.00 on 11/04/2025,A Convenience Fee will be added to each transaction issued for 1 Deferred payment of 10.00 starting on 11/04/2025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10.00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328A-9DEA-4031-BF6E-3E1679D9E636}">
  <dimension ref="A1:Q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0.26953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>
        <v>14</v>
      </c>
      <c r="B2" t="s">
        <v>90</v>
      </c>
      <c r="C2" s="4"/>
      <c r="D2" s="5" t="s">
        <v>15</v>
      </c>
      <c r="E2" s="5" t="s">
        <v>16</v>
      </c>
      <c r="F2" s="5" t="s">
        <v>17</v>
      </c>
      <c r="G2" t="str">
        <f>"CarlosJacinta"</f>
        <v>CarlosJacinta</v>
      </c>
      <c r="H2" t="s">
        <v>34</v>
      </c>
      <c r="I2" t="s">
        <v>29</v>
      </c>
      <c r="J2" t="s">
        <v>20</v>
      </c>
      <c r="K2" s="6" t="s">
        <v>37</v>
      </c>
      <c r="L2" s="6" t="str">
        <f ca="1">TEXT(TODAY()+1,"mm/dd/yyyy")</f>
        <v>11/04/2025</v>
      </c>
      <c r="M2" s="7">
        <v>10</v>
      </c>
      <c r="N2" s="8">
        <v>5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****4974,
Account Number:,	****8307,
Billing Address:,	1853 Mandan Terace,
Greenbelt, Maryland MD 20770,
Country:,	UNITED STATES,
Account Type:,	Personal Savings,
3. Payment Plan Information,
Payment Plan Type:,	Recurring,
Payment Plan Duration:,	Deferred,
Payment Plan Start Date:,	
4. Payment Plan,1 Deferred payment of $10.00 on 11/04/2025,A Convenience Fee will be added to each transaction issued for 1 Deferred payment of 5.00 starting on 11/04/2025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5.00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5C47-9A3E-42DC-8852-58A42D0C9EFE}">
  <dimension ref="A1:Q2"/>
  <sheetViews>
    <sheetView topLeftCell="A2" workbookViewId="0">
      <selection activeCell="G2" sqref="G2"/>
    </sheetView>
  </sheetViews>
  <sheetFormatPr defaultRowHeight="14.5" x14ac:dyDescent="0.35"/>
  <cols>
    <col min="11" max="11" customWidth="true" width="26.6328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>
        <v>14</v>
      </c>
      <c r="B2" t="s">
        <v>91</v>
      </c>
      <c r="C2" s="4"/>
      <c r="D2" s="5" t="s">
        <v>15</v>
      </c>
      <c r="E2" s="5" t="s">
        <v>16</v>
      </c>
      <c r="F2" s="5" t="s">
        <v>17</v>
      </c>
      <c r="G2" t="str">
        <f>"Smith"</f>
        <v>Smith</v>
      </c>
      <c r="H2" t="s">
        <v>34</v>
      </c>
      <c r="I2" t="s">
        <v>29</v>
      </c>
      <c r="J2" t="s">
        <v>20</v>
      </c>
      <c r="K2" s="6" t="s">
        <v>35</v>
      </c>
      <c r="L2" s="6" t="str">
        <f ca="1">TEXT(TODAY()+1,"mm/dd/yyyy")</f>
        <v>11/04/2025</v>
      </c>
      <c r="M2" s="7">
        <v>10</v>
      </c>
      <c r="N2" s="8">
        <v>10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Recurring,
Payment Plan Duration:,	Deferred,
Payment Plan Start Date:,	
4. Payment Plan,1 Deferred payment of $10.00 on 11/04/2025,A Convenience Fee will be added to each transaction issued for 1 Deferred payment of 10.00 starting on 11/04/2025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10.00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0DE0-0B5B-490D-A8EE-5AFB1CF2AE1D}">
  <dimension ref="A1:Q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0.179687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>
        <v>14</v>
      </c>
      <c r="B2" t="s">
        <v>93</v>
      </c>
      <c r="C2" s="4"/>
      <c r="D2" s="5" t="s">
        <v>15</v>
      </c>
      <c r="E2" s="5" t="s">
        <v>16</v>
      </c>
      <c r="F2" s="5" t="s">
        <v>17</v>
      </c>
      <c r="G2" t="str">
        <f>"CarlosJacinta"</f>
        <v>CarlosJacinta</v>
      </c>
      <c r="H2" t="s">
        <v>34</v>
      </c>
      <c r="I2" t="s">
        <v>19</v>
      </c>
      <c r="J2" t="s">
        <v>20</v>
      </c>
      <c r="K2" s="6" t="s">
        <v>40</v>
      </c>
      <c r="L2" s="6" t="str">
        <f ca="1">TEXT(TODAY()+1,"mm/dd/yyyy")</f>
        <v>11/04/2025</v>
      </c>
      <c r="M2" s="7">
        <v>10</v>
      </c>
      <c r="N2" s="8">
        <v>5</v>
      </c>
      <c r="O2" s="9" t="str">
        <f ca="1">K2&amp;TEXT(M2,"0.00")&amp;" starting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****4974,
Account Number:,	****8307,
Billing Address:,	1853 Mandan Terace,
Greenbelt, Maryland MD 20770,
Country:,	UNITED STATES,
Account Type:,	Personal Savings,
3. Payment Plan Information,
Payment Plan Type:,	Recurring,
Payment Plan Duration:,	Daily,
Payment Plan Start Date:,	
4. Payment Plan, Daily payments of $10.00 starting on 11/04/2025,A Convenience Fee will be added to each transaction issued for Daily payment of 5.00 starting on 11/04/2025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5.00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E3BC-AF45-4450-AB4B-7E9300EF985A}">
  <dimension ref="A1:Q2"/>
  <sheetViews>
    <sheetView topLeftCell="A2" workbookViewId="0">
      <selection activeCell="D2" sqref="D2"/>
    </sheetView>
  </sheetViews>
  <sheetFormatPr defaultRowHeight="14.5" x14ac:dyDescent="0.35"/>
  <cols>
    <col min="11" max="11" customWidth="true" width="21.26953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>
        <v>14</v>
      </c>
      <c r="B2" t="s">
        <v>84</v>
      </c>
      <c r="C2" s="4"/>
      <c r="D2" s="5" t="s">
        <v>15</v>
      </c>
      <c r="E2" s="5" t="s">
        <v>16</v>
      </c>
      <c r="F2" s="5" t="s">
        <v>17</v>
      </c>
      <c r="G2" t="str">
        <f>"Smith"</f>
        <v>Smith</v>
      </c>
      <c r="H2" t="s">
        <v>34</v>
      </c>
      <c r="I2" t="s">
        <v>19</v>
      </c>
      <c r="J2" t="s">
        <v>20</v>
      </c>
      <c r="K2" s="6" t="s">
        <v>41</v>
      </c>
      <c r="L2" s="6" t="str">
        <f ca="1">TEXT(TODAY()+1,"mm/dd/yyyy")</f>
        <v>11/04/2025</v>
      </c>
      <c r="M2" s="7">
        <v>10</v>
      </c>
      <c r="N2" s="8">
        <v>10</v>
      </c>
      <c r="O2" s="9" t="str">
        <f ca="1">K2&amp;TEXT(M2,"0.00")&amp;" starting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Recurring,
Payment Plan Duration:,	Daily,
Payment Plan Start Date:,	
4. Payment Plan, Daily payments of $10.00 starting on 11/04/2025,A Convenience Fee will be added to each transaction issued for Daily payment of 10.00 starting on 11/04/2025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10.00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AD8E-8FB3-4E0D-8FB3-58E3B5B29B16}">
  <dimension ref="A1:Q2"/>
  <sheetViews>
    <sheetView tabSelected="1" workbookViewId="0">
      <selection activeCell="J2" sqref="J2"/>
    </sheetView>
  </sheetViews>
  <sheetFormatPr defaultRowHeight="14.5" x14ac:dyDescent="0.35"/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>
        <v>14</v>
      </c>
      <c r="B2" t="s">
        <v>87</v>
      </c>
      <c r="C2" t="s">
        <v>24</v>
      </c>
      <c r="D2" s="5" t="s">
        <v>15</v>
      </c>
      <c r="E2" s="5" t="s">
        <v>16</v>
      </c>
      <c r="F2" s="5" t="s">
        <v>17</v>
      </c>
      <c r="G2" t="str">
        <f>"CarlosJacinta"</f>
        <v>CarlosJacinta</v>
      </c>
      <c r="H2" t="s">
        <v>18</v>
      </c>
      <c r="I2" t="s">
        <v>19</v>
      </c>
      <c r="J2" t="s">
        <v>20</v>
      </c>
      <c r="K2" s="6" t="s">
        <v>23</v>
      </c>
      <c r="L2" s="6" t="str">
        <f ca="1">TEXT(TODAY()+1,"mm/dd/yyyy")</f>
        <v>11/04/2025</v>
      </c>
      <c r="M2" s="7">
        <v>10</v>
      </c>
      <c r="N2" s="8">
        <v>5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****4974,
Account Number:	,****8307,
Billing Address:,	1853 Mandan Terace,
Greenbelt, Maryland MD 20770,
Country:,	UNITED STATES,
Account Type:,	Personal Savings,
3. Payment Plan Information,
Payment Plan Type:,	Installment Plan,
Payment Plan Duration:,	Daily,
Payment Plan Start Date:,	
4. Payment Plan,1 Daily payment of $10.00 on 11/04/2025,A Convenience Fee will be added to each transaction issued for 1 Daily payment of 5.00 starting on 11/04/2025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5.00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CVCSPDCFCorp_IPDailyNOP</vt:lpstr>
      <vt:lpstr>CVCSPDCFPS_IPDailyIA</vt:lpstr>
      <vt:lpstr>CVCSPDCFCorp_IPDailyIA</vt:lpstr>
      <vt:lpstr>CVCSPDCFPS_IPDeferred</vt:lpstr>
      <vt:lpstr>CVCSPDCFCorp_IPDeferred</vt:lpstr>
      <vt:lpstr>CVCSPDCFPS_RecDeferred</vt:lpstr>
      <vt:lpstr>CVCSPDCFCorp_RecDeferred</vt:lpstr>
      <vt:lpstr>CVCSPDCFPS_RecDaily</vt:lpstr>
      <vt:lpstr>CVCSPDCFCorp_RecDaily</vt:lpstr>
      <vt:lpstr>CVCSPDCFPS_IPDailyNOP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Bharat Bhushan</cp:lastModifiedBy>
  <dcterms:modified xsi:type="dcterms:W3CDTF">2025-11-03T16:28:38Z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2025-09-15T13:41:03Z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f21bf80d-53c6-43c2-9af9-24d5d5b3d61f</vt:lpwstr>
  </property>
  <property fmtid="{D5CDD505-2E9C-101B-9397-08002B2CF9AE}" name="MSIP_Label_0fe51ac3-344e-4d7e-82a2-d6ed2fbd0340_ContentBits" pid="8">
    <vt:lpwstr>2</vt:lpwstr>
  </property>
  <property fmtid="{D5CDD505-2E9C-101B-9397-08002B2CF9AE}" name="MSIP_Label_0fe51ac3-344e-4d7e-82a2-d6ed2fbd0340_Tag" pid="9">
    <vt:lpwstr>10, 0, 1, 1</vt:lpwstr>
  </property>
</Properties>
</file>