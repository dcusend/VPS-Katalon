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t470258\Documents\VPS-Katalon\KatalonData\ABPTestData\"/>
    </mc:Choice>
  </mc:AlternateContent>
  <xr:revisionPtr revIDLastSave="0" documentId="13_ncr:1_{D0F17B18-9C53-451E-A1EC-31CAB16A486C}" xr6:coauthVersionLast="47" xr6:coauthVersionMax="47" xr10:uidLastSave="{00000000-0000-0000-0000-000000000000}"/>
  <bookViews>
    <workbookView xWindow="-110" yWindow="-110" windowWidth="19420" windowHeight="11500" firstSheet="19" activeTab="20" xr2:uid="{00000000-000D-0000-FFFF-FFFF00000000}"/>
  </bookViews>
  <sheets>
    <sheet name="CVCSPSCFCorp_IPDailyNOP" sheetId="1" r:id="rId1"/>
    <sheet name="CVCSPSCFCorp_AutomaticPayment" sheetId="2" r:id="rId2"/>
    <sheet name="CVCSPSCFPC_AutomaticPayment" sheetId="4" r:id="rId3"/>
    <sheet name="CVCSPSCFPS_AutomaticPayment" sheetId="3" r:id="rId4"/>
    <sheet name="CVCSPSCFCC_AutomaticPayment" sheetId="5" r:id="rId5"/>
    <sheet name="CVCSPSCFPS_RecDeferred" sheetId="6" r:id="rId6"/>
    <sheet name="CVCSPSCFPC_RecDeferred" sheetId="7" r:id="rId7"/>
    <sheet name="CVCSPSCFCorp_RecDeferred" sheetId="8" r:id="rId8"/>
    <sheet name="CVCSPSCFCC_RecDeferred" sheetId="9" r:id="rId9"/>
    <sheet name="CVCSPSCFPS_RecDaily" sheetId="10" r:id="rId10"/>
    <sheet name="CVCSPSCFPC_RecDaily" sheetId="11" r:id="rId11"/>
    <sheet name="CVCSPSCFCorp_RecDaily" sheetId="12" r:id="rId12"/>
    <sheet name="CVCSPSCFCC_RecDaily" sheetId="13" r:id="rId13"/>
    <sheet name="CVCSPSCFPS_IPDeferred" sheetId="14" r:id="rId14"/>
    <sheet name="CVCSPSCFPC_IPDeferred" sheetId="15" r:id="rId15"/>
    <sheet name="CVCSPSCFCC_IPDeferred" sheetId="16" r:id="rId16"/>
    <sheet name="CVCSPSCFCorp_IPDeferred" sheetId="17" r:id="rId17"/>
    <sheet name="CVCSPSCFPS_IPDailyIA" sheetId="18" r:id="rId18"/>
    <sheet name="CVCSPSCFPC_IPDailyIA" sheetId="19" r:id="rId19"/>
    <sheet name="CVCSPSCFCC_IPDailyIA" sheetId="20" r:id="rId20"/>
    <sheet name="CVCSPSCFCorp_IPDailyIA" sheetId="21" r:id="rId21"/>
    <sheet name="CVCSPSCFCC_IPDailyNOP" sheetId="22" r:id="rId22"/>
    <sheet name="CVCSPSCFPC_IPDailyNOP" sheetId="23" r:id="rId23"/>
    <sheet name="CVCSPSCFPS_IPDailyNOP" sheetId="24" r:id="rId24"/>
    <sheet name="CVCSPSCFCorp_RecMonthly" sheetId="25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25" l="1"/>
  <c r="P2" i="25" s="1"/>
  <c r="G2" i="25"/>
  <c r="O2" i="25" l="1"/>
  <c r="G2" i="4"/>
  <c r="G2" i="24"/>
  <c r="G2" i="23"/>
  <c r="G2" i="22"/>
  <c r="L2" i="22"/>
  <c r="P2" i="22" s="1"/>
  <c r="O2" i="22" s="1"/>
  <c r="L2" i="23"/>
  <c r="P2" i="23" s="1"/>
  <c r="O2" i="23" s="1"/>
  <c r="L2" i="24"/>
  <c r="P2" i="24" s="1"/>
  <c r="O2" i="24" s="1"/>
  <c r="G2" i="20"/>
  <c r="G2" i="19"/>
  <c r="G2" i="18"/>
  <c r="L2" i="21"/>
  <c r="P2" i="21" s="1"/>
  <c r="O2" i="21" s="1"/>
  <c r="G2" i="21"/>
  <c r="L2" i="20"/>
  <c r="P2" i="20" s="1"/>
  <c r="O2" i="20" s="1"/>
  <c r="L2" i="19"/>
  <c r="P2" i="19" s="1"/>
  <c r="O2" i="19" s="1"/>
  <c r="L2" i="18"/>
  <c r="P2" i="18" s="1"/>
  <c r="O2" i="18" s="1"/>
  <c r="G2" i="15"/>
  <c r="G2" i="16"/>
  <c r="G2" i="17"/>
  <c r="L2" i="17"/>
  <c r="P2" i="17" s="1"/>
  <c r="O2" i="17" s="1"/>
  <c r="L2" i="16"/>
  <c r="P2" i="16" s="1"/>
  <c r="O2" i="16" s="1"/>
  <c r="L2" i="15"/>
  <c r="P2" i="15" s="1"/>
  <c r="O2" i="15" s="1"/>
  <c r="L2" i="14"/>
  <c r="P2" i="14" s="1"/>
  <c r="G2" i="14"/>
  <c r="G2" i="11"/>
  <c r="G2" i="12"/>
  <c r="G2" i="13"/>
  <c r="L2" i="13"/>
  <c r="P2" i="13" s="1"/>
  <c r="O2" i="13" s="1"/>
  <c r="L2" i="12"/>
  <c r="P2" i="12" s="1"/>
  <c r="O2" i="12" s="1"/>
  <c r="L2" i="11"/>
  <c r="P2" i="11" s="1"/>
  <c r="L2" i="10"/>
  <c r="P2" i="10" s="1"/>
  <c r="G2" i="10"/>
  <c r="G2" i="9"/>
  <c r="L2" i="9"/>
  <c r="P2" i="9" s="1"/>
  <c r="O2" i="9" s="1"/>
  <c r="L2" i="6"/>
  <c r="P2" i="6" s="1"/>
  <c r="O2" i="6" s="1"/>
  <c r="L2" i="7"/>
  <c r="P2" i="7" s="1"/>
  <c r="O2" i="7" s="1"/>
  <c r="L2" i="8"/>
  <c r="P2" i="8" s="1"/>
  <c r="O2" i="8" s="1"/>
  <c r="G2" i="7"/>
  <c r="G2" i="8"/>
  <c r="G2" i="6"/>
  <c r="O2" i="14" l="1"/>
  <c r="O2" i="11"/>
  <c r="O2" i="10"/>
  <c r="G2" i="5"/>
  <c r="P2" i="5"/>
  <c r="L2" i="5"/>
  <c r="P2" i="4"/>
  <c r="L2" i="4"/>
  <c r="G2" i="3"/>
  <c r="P2" i="3"/>
  <c r="L2" i="3"/>
  <c r="P2" i="2"/>
  <c r="L2" i="2"/>
  <c r="G2" i="2"/>
  <c r="L2" i="1" l="1"/>
  <c r="P2" i="1" s="1"/>
  <c r="G2" i="1"/>
  <c r="O2" i="1" l="1"/>
</calcChain>
</file>

<file path=xl/sharedStrings.xml><?xml version="1.0" encoding="utf-8"?>
<sst xmlns="http://schemas.openxmlformats.org/spreadsheetml/2006/main" count="625" uniqueCount="72">
  <si>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</si>
  <si>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</si>
  <si>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</si>
  <si>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</si>
  <si>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</si>
  <si>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</si>
  <si>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</si>
  <si>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</si>
  <si>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</si>
  <si>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</si>
  <si>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</si>
  <si>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</si>
  <si>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</si>
  <si>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</si>
  <si>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</si>
  <si>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</si>
  <si>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</si>
  <si>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</si>
  <si>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</si>
  <si>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</si>
  <si>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</si>
  <si>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</si>
  <si>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</si>
  <si>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</si>
  <si>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</si>
  <si>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</si>
  <si>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</si>
  <si>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</si>
  <si>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</si>
  <si>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</si>
  <si>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</si>
  <si>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</si>
  <si>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</si>
  <si>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</si>
  <si>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</si>
  <si>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</si>
  <si>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</si>
  <si>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</si>
  <si>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</si>
  <si>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</si>
  <si>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</si>
  <si>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</si>
  <si>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</si>
  <si>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</si>
  <si>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</si>
  <si>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Monthly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</si>
  <si>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</t>
  </si>
  <si>
    <t>Fri Dec 26 21:03:14 IST 2025</t>
  </si>
  <si>
    <t>Fri Dec 26 21:04:25 IST 2025</t>
  </si>
  <si>
    <t>Fri Dec 26 21:05:47 IST 2025</t>
  </si>
  <si>
    <t>Fri Dec 26 21:07:08 IST 2025</t>
  </si>
  <si>
    <t>Fri Dec 26 21:08:25 IST 2025</t>
  </si>
  <si>
    <t>Fri Dec 26 21:09:40 IST 2025</t>
  </si>
  <si>
    <t>Fri Dec 26 21:10:52 IST 2025</t>
  </si>
  <si>
    <t>Fri Dec 26 21:12:08 IST 2025</t>
  </si>
  <si>
    <t>Fri Dec 26 21:13:42 IST 2025</t>
  </si>
  <si>
    <t>Fri Dec 26 21:15:15 IST 2025</t>
  </si>
  <si>
    <t>Fri Dec 26 21:16:43 IST 2025</t>
  </si>
  <si>
    <t>Fri Dec 26 21:18:09 IST 2025</t>
  </si>
  <si>
    <t>Fri Dec 26 21:19:35 IST 2025</t>
  </si>
  <si>
    <t>Fri Dec 26 21:20:55 IST 2025</t>
  </si>
  <si>
    <t>Fri Dec 26 21:22:08 IST 2025</t>
  </si>
  <si>
    <t>Fri Dec 26 21:23:41 IST 2025</t>
  </si>
  <si>
    <t>Fri Dec 26 21:25:14 IST 2025</t>
  </si>
  <si>
    <t>Fri Dec 26 21:26:50 IST 2025</t>
  </si>
  <si>
    <t>Fri Dec 26 21:28:06 IST 2025</t>
  </si>
  <si>
    <t>Fri Dec 26 21:29:32 IST 2025</t>
  </si>
  <si>
    <t>Fri Dec 26 21:30:43 IST 2025</t>
  </si>
  <si>
    <t>Fri Dec 26 21:32:28 IST 2025</t>
  </si>
  <si>
    <t>Fri Dec 26 21:34:04 IST 2025</t>
  </si>
  <si>
    <t>Fri Dec 26 21:35:30 IST 2025</t>
  </si>
  <si>
    <t>Fri Dec 26 21:37:24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</si>
</sst>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1" xfId="0" applyNumberFormat="1" applyBorder="1" applyAlignment="1">
      <alignment wrapText="1"/>
    </xf>
    <xf numFmtId="0" fontId="1" fillId="0" borderId="0" xfId="0" applyFont="1" applyAlignment="1">
      <alignment vertical="center"/>
    </xf>
    <xf numFmtId="49" fontId="0" fillId="0" borderId="2" xfId="0" applyNumberFormat="1" applyBorder="1" applyAlignment="1">
      <alignment wrapText="1"/>
    </xf>
    <xf numFmtId="0" fontId="0" fillId="0" borderId="1" xfId="0" applyBorder="1" applyAlignment="1">
      <alignment vertical="top" wrapText="1"/>
    </xf>
    <xf numFmtId="49" fontId="0" fillId="0" borderId="1" xfId="0" applyNumberFormat="1" applyBorder="1" applyAlignment="1">
      <alignment vertical="top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opLeftCell="A2" workbookViewId="0">
      <selection activeCell="G2" sqref="G2"/>
    </sheetView>
  </sheetViews>
  <sheetFormatPr defaultRowHeight="14.5" x14ac:dyDescent="0.35"/>
  <cols>
    <col min="7" max="7" width="23.6328125" customWidth="1" collapsed="1"/>
    <col min="11" max="11" width="30.269531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55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41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left="0.7" right="0.7" top="0.75" bottom="0.75" header="0.3" footer="0.3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P2"/>
  <sheetViews>
    <sheetView workbookViewId="0">
      <selection activeCell="K2" sqref="K2"/>
    </sheetView>
  </sheetViews>
  <sheetFormatPr defaultRowHeight="14.5" x14ac:dyDescent="0.35"/>
  <cols>
    <col min="11" max="11" width="21.90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53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21</v>
      </c>
      <c r="I2" t="s">
        <v>19</v>
      </c>
      <c r="J2" t="s">
        <v>20</v>
      </c>
      <c r="K2" s="6" t="s">
        <v>27</v>
      </c>
      <c r="L2" s="6" t="str">
        <f ca="1">TEXT(TODAY()+1,"mm/dd/yyyy")</f>
        <v>01/05/2026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P2"/>
  <sheetViews>
    <sheetView workbookViewId="0">
      <selection activeCell="G2" sqref="G2"/>
    </sheetView>
  </sheetViews>
  <sheetFormatPr defaultRowHeight="14.5" x14ac:dyDescent="0.35"/>
  <cols>
    <col min="7" max="7" width="13.90625" bestFit="1" customWidth="1" collapsed="1"/>
    <col min="8" max="8" width="16.7265625" bestFit="1" customWidth="1" collapsed="1"/>
    <col min="9" max="9" width="20.453125" bestFit="1" customWidth="1" collapsed="1"/>
    <col min="11" max="11" width="22.63281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60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21</v>
      </c>
      <c r="I2" t="s">
        <v>19</v>
      </c>
      <c r="J2" t="s">
        <v>20</v>
      </c>
      <c r="K2" s="6" t="s">
        <v>26</v>
      </c>
      <c r="L2" s="6" t="str">
        <f ca="1">TEXT(TODAY()+1,"mm/dd/yyyy")</f>
        <v>01/05/2026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P2"/>
  <sheetViews>
    <sheetView workbookViewId="0">
      <selection activeCell="G2" sqref="G2"/>
    </sheetView>
  </sheetViews>
  <sheetFormatPr defaultRowHeight="14.5" x14ac:dyDescent="0.35"/>
  <cols>
    <col min="11" max="11" width="19.63281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66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21</v>
      </c>
      <c r="I2" t="s">
        <v>19</v>
      </c>
      <c r="J2" t="s">
        <v>20</v>
      </c>
      <c r="K2" s="6" t="s">
        <v>25</v>
      </c>
      <c r="L2" s="6" t="str">
        <f ca="1">TEXT(TODAY()+1,"mm/dd/yyyy")</f>
        <v>01/05/2026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P2"/>
  <sheetViews>
    <sheetView topLeftCell="A2" workbookViewId="0">
      <selection activeCell="G2" sqref="G2"/>
    </sheetView>
  </sheetViews>
  <sheetFormatPr defaultRowHeight="14.5" x14ac:dyDescent="0.35"/>
  <cols>
    <col min="11" max="11" width="30.5429687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47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21</v>
      </c>
      <c r="I2" t="s">
        <v>19</v>
      </c>
      <c r="J2" t="s">
        <v>20</v>
      </c>
      <c r="K2" s="6" t="s">
        <v>24</v>
      </c>
      <c r="L2" s="6" t="str">
        <f ca="1">TEXT(TODAY()+1,"mm/dd/yyyy")</f>
        <v>01/05/2026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17.90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71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23</v>
      </c>
      <c r="J2" t="s">
        <v>20</v>
      </c>
      <c r="K2" s="6" t="s">
        <v>28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P2"/>
  <sheetViews>
    <sheetView workbookViewId="0">
      <selection activeCell="K2" sqref="K2"/>
    </sheetView>
  </sheetViews>
  <sheetFormatPr defaultRowHeight="14.5" x14ac:dyDescent="0.35"/>
  <cols>
    <col min="11" max="11" width="23.81640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65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23</v>
      </c>
      <c r="J2" t="s">
        <v>20</v>
      </c>
      <c r="K2" s="6" t="s">
        <v>29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1.81640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58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23</v>
      </c>
      <c r="J2" t="s">
        <v>20</v>
      </c>
      <c r="K2" s="6" t="s">
        <v>30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P2"/>
  <sheetViews>
    <sheetView workbookViewId="0">
      <selection activeCell="K2" sqref="K2"/>
    </sheetView>
  </sheetViews>
  <sheetFormatPr defaultRowHeight="14.5" x14ac:dyDescent="0.35"/>
  <cols>
    <col min="11" max="11" width="28.5429687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52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23</v>
      </c>
      <c r="J2" t="s">
        <v>20</v>
      </c>
      <c r="K2" s="6" t="s">
        <v>31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P2"/>
  <sheetViews>
    <sheetView topLeftCell="A2" workbookViewId="0">
      <selection activeCell="N2" sqref="N2"/>
    </sheetView>
  </sheetViews>
  <sheetFormatPr defaultRowHeight="14.5" x14ac:dyDescent="0.35"/>
  <cols>
    <col min="11" max="11" width="26.0898437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70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19</v>
      </c>
      <c r="J2" t="s">
        <v>20</v>
      </c>
      <c r="K2" s="6" t="s">
        <v>32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01/05/2026,A Convenience Fee will be added to each transaction issued for Daily payment of 2.00 starting on 01/05/2026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P2"/>
  <sheetViews>
    <sheetView topLeftCell="A2" workbookViewId="0">
      <selection activeCell="G2" sqref="G2"/>
    </sheetView>
  </sheetViews>
  <sheetFormatPr defaultRowHeight="14.5" x14ac:dyDescent="0.35"/>
  <cols>
    <col min="11" max="11" width="25.7265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64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19</v>
      </c>
      <c r="J2" t="s">
        <v>20</v>
      </c>
      <c r="K2" s="6" t="s">
        <v>33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01/05/2026,A Convenience Fee will be added to each transaction issued for Daily payment of 2.00 starting on 01/05/2026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P2"/>
  <sheetViews>
    <sheetView topLeftCell="A2" workbookViewId="0">
      <selection activeCell="G2" sqref="G2"/>
    </sheetView>
  </sheetViews>
  <sheetFormatPr defaultRowHeight="14.5" x14ac:dyDescent="0.35"/>
  <cols>
    <col min="11" max="11" width="30.7265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57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19</v>
      </c>
      <c r="J2" t="s">
        <v>20</v>
      </c>
      <c r="K2" s="6" t="s">
        <v>34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$10.00 starting on 01/05/2026,A Convenience Fee will be added to each transaction issued for Daily payment of 2.00 starting on 01/05/2026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34.7265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51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19</v>
      </c>
      <c r="J2" t="s">
        <v>20</v>
      </c>
      <c r="K2" s="6" t="s">
        <v>35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$10.00 starting on 01/05/2026,A Convenience Fee will be added to each transaction issued for Daily payment of 2.00 starting on 01/05/2026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4.7265625" customWidth="1" collapsed="1"/>
    <col min="15" max="15" width="15.7265625" customWidth="1" collapsed="1"/>
    <col min="16" max="16" width="17.1796875" customWidth="1" collapsed="1"/>
  </cols>
  <sheetData>
    <row r="1" spans="1:16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69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23</v>
      </c>
      <c r="J2" t="s">
        <v>20</v>
      </c>
      <c r="K2" s="6" t="s">
        <v>36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4.269531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63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23</v>
      </c>
      <c r="J2" t="s">
        <v>20</v>
      </c>
      <c r="K2" s="6" t="s">
        <v>39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3.7265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50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23</v>
      </c>
      <c r="J2" t="s">
        <v>20</v>
      </c>
      <c r="K2" s="6" t="s">
        <v>37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P2"/>
  <sheetViews>
    <sheetView topLeftCell="A2" workbookViewId="0">
      <selection activeCell="L2" sqref="L2"/>
    </sheetView>
  </sheetViews>
  <sheetFormatPr defaultRowHeight="14.5" x14ac:dyDescent="0.35"/>
  <cols>
    <col min="11" max="11" width="25.81640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56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23</v>
      </c>
      <c r="J2" t="s">
        <v>20</v>
      </c>
      <c r="K2" s="6" t="s">
        <v>38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4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67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40</v>
      </c>
      <c r="K2" s="6" t="s">
        <v>43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3.0898437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61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40</v>
      </c>
      <c r="K2" s="6" t="s">
        <v>44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1.81640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48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40</v>
      </c>
      <c r="K2" s="6" t="s">
        <v>42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P2"/>
  <sheetViews>
    <sheetView tabSelected="1" workbookViewId="0">
      <selection activeCell="J2" sqref="J2"/>
    </sheetView>
  </sheetViews>
  <sheetFormatPr defaultRowHeight="14.5" x14ac:dyDescent="0.35"/>
  <cols>
    <col min="11" max="11" width="20.363281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54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40</v>
      </c>
      <c r="K2" s="6" t="s">
        <v>41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7.0898437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49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20</v>
      </c>
      <c r="K2" s="6" t="s">
        <v>42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9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62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20</v>
      </c>
      <c r="K2" s="6" t="s">
        <v>44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9.9062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68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43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P2"/>
  <sheetViews>
    <sheetView topLeftCell="A2" workbookViewId="0">
      <selection activeCell="K2" sqref="K2"/>
    </sheetView>
  </sheetViews>
  <sheetFormatPr defaultRowHeight="14.5" x14ac:dyDescent="0.35"/>
  <cols>
    <col min="11" max="11" width="27.1796875" customWidth="1" collapsed="1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>
        <v>14</v>
      </c>
      <c r="B2" t="s">
        <v>59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45</v>
      </c>
      <c r="J2" t="s">
        <v>20</v>
      </c>
      <c r="K2" s="6" t="s">
        <v>46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$10.00 starting on 01/05/2026,A Convenience Fee will be added to each transaction issued for Monthly payment of 2.00 starting on 01/05/2026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01/05/2026 ,Individual Convenience Fee Amount:,	
Total Convenience Fees Paid:,	
Total Paid under this plan: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Mishra, Komal</dc:creator>
  <cp:lastModifiedBy>Bhushan, Bharat</cp:lastModifiedBy>
  <dcterms:created xsi:type="dcterms:W3CDTF">2015-06-05T18:17:20Z</dcterms:created>
  <dcterms:modified xsi:type="dcterms:W3CDTF">2026-01-04T15:23:11Z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e51ac3-344e-4d7e-82a2-d6ed2fbd0340_Enabled">
    <vt:lpwstr>true</vt:lpwstr>
  </property>
  <property fmtid="{D5CDD505-2E9C-101B-9397-08002B2CF9AE}" pid="3" name="MSIP_Label_0fe51ac3-344e-4d7e-82a2-d6ed2fbd0340_SetDate">
    <vt:lpwstr>2025-09-15T19:18:12Z</vt:lpwstr>
  </property>
  <property fmtid="{D5CDD505-2E9C-101B-9397-08002B2CF9AE}" pid="4" name="MSIP_Label_0fe51ac3-344e-4d7e-82a2-d6ed2fbd0340_Method">
    <vt:lpwstr>Privileged</vt:lpwstr>
  </property>
  <property fmtid="{D5CDD505-2E9C-101B-9397-08002B2CF9AE}" pid="5" name="MSIP_Label_0fe51ac3-344e-4d7e-82a2-d6ed2fbd0340_Name">
    <vt:lpwstr>Public</vt:lpwstr>
  </property>
  <property fmtid="{D5CDD505-2E9C-101B-9397-08002B2CF9AE}" pid="6" name="MSIP_Label_0fe51ac3-344e-4d7e-82a2-d6ed2fbd0340_SiteId">
    <vt:lpwstr>1f7c1878-7408-4f86-b429-cf17f96a717c</vt:lpwstr>
  </property>
  <property fmtid="{D5CDD505-2E9C-101B-9397-08002B2CF9AE}" pid="7" name="MSIP_Label_0fe51ac3-344e-4d7e-82a2-d6ed2fbd0340_ActionId">
    <vt:lpwstr>79d9fbb5-dbb1-4df5-8faf-47d3ac8a6478</vt:lpwstr>
  </property>
  <property fmtid="{D5CDD505-2E9C-101B-9397-08002B2CF9AE}" pid="8" name="MSIP_Label_0fe51ac3-344e-4d7e-82a2-d6ed2fbd0340_ContentBits">
    <vt:lpwstr>2</vt:lpwstr>
  </property>
  <property fmtid="{D5CDD505-2E9C-101B-9397-08002B2CF9AE}" pid="9" name="MSIP_Label_0fe51ac3-344e-4d7e-82a2-d6ed2fbd0340_Tag">
    <vt:lpwstr>10, 0, 1, 1</vt:lpwstr>
  </property>
</Properties>
</file>