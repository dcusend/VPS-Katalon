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9328"/>
  <workbookPr/>
  <mc:AlternateContent>
    <mc:Choice Requires="x15">
      <x15ac:absPath xmlns:x15ac="http://schemas.microsoft.com/office/spreadsheetml/2010/11/ac" url="C:\Users\t470258\Documents\VPS-Katalon\KatalonData\ABPTestData\"/>
    </mc:Choice>
  </mc:AlternateContent>
  <xr:revisionPtr documentId="13_ncr:1_{329EE51D-A7FC-471D-A808-3284C8C5AEBF}" revIDLastSave="0" xr10:uidLastSave="{00000000-0000-0000-0000-000000000000}" xr6:coauthVersionLast="47" xr6:coauthVersionMax="47"/>
  <bookViews>
    <workbookView activeTab="7" firstSheet="7" windowHeight="11500" windowWidth="19420" xWindow="-110" xr2:uid="{00000000-000D-0000-FFFF-FFFF00000000}" yWindow="-110"/>
  </bookViews>
  <sheets>
    <sheet name="CVCSPSCFCorp_IPDailyNOP" r:id="rId1" sheetId="1"/>
    <sheet name="CVCSPSCFCorp_AutomaticPayment" r:id="rId2" sheetId="2"/>
    <sheet name="CVCSPSCFPC_AutomaticPayment" r:id="rId3" sheetId="4"/>
    <sheet name="CVCSPSCFPS_AutomaticPayment" r:id="rId4" sheetId="3"/>
    <sheet name="CVCSPSCFCC_AutomaticPayment" r:id="rId5" sheetId="5"/>
    <sheet name="CVCSPSCFPS_RecDeferred" r:id="rId6" sheetId="6"/>
    <sheet name="CVCSPSCFPC_RecDeferred" r:id="rId7" sheetId="7"/>
    <sheet name="CVCSPSCFCorp_RecDeferred" r:id="rId8" sheetId="8"/>
    <sheet name="CVCSPSCFCC_RecDeferred" r:id="rId9" sheetId="9"/>
    <sheet name="CVCSPSCFPS_RecDaily" r:id="rId10" sheetId="10"/>
    <sheet name="CVCSPSCFPC_RecDaily" r:id="rId11" sheetId="11"/>
    <sheet name="CVCSPSCFCorp_RecDaily" r:id="rId12" sheetId="12"/>
    <sheet name="CVCSPSCFCC_RecDaily" r:id="rId13" sheetId="13"/>
    <sheet name="CVCSPSCFPS_IPDeferred" r:id="rId14" sheetId="14"/>
    <sheet name="CVCSPSCFPC_IPDeferred" r:id="rId15" sheetId="15"/>
    <sheet name="CVCSPSCFCC_IPDeferred" r:id="rId16" sheetId="16"/>
    <sheet name="CVCSPSCFCorp_IPDeferred" r:id="rId17" sheetId="17"/>
    <sheet name="CVCSPSCFPS_IPDailyIA" r:id="rId18" sheetId="18"/>
    <sheet name="CVCSPSCFPC_IPDailyIA" r:id="rId19" sheetId="19"/>
    <sheet name="CVCSPSCFCC_IPDailyIA" r:id="rId20" sheetId="20"/>
    <sheet name="CVCSPSCFCorp_IPDailyIA" r:id="rId21" sheetId="21"/>
    <sheet name="CVCSPSCFCC_IPDailyNOP" r:id="rId22" sheetId="22"/>
    <sheet name="CVCSPSCFPC_IPDailyNOP" r:id="rId23" sheetId="23"/>
    <sheet name="CVCSPSCFPS_IPDailyNOP" r:id="rId24" sheetId="24"/>
    <sheet name="CVCSPSCFCorp_RecMonthly" r:id="rId25" sheetId="25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i="25" l="1" r="L2"/>
  <c i="25" r="P2" s="1"/>
  <c i="25" r="G2"/>
  <c i="25" l="1" r="O2"/>
  <c i="4" r="G2"/>
  <c i="24" r="G2"/>
  <c i="23" r="G2"/>
  <c i="22" r="G2"/>
  <c i="22" r="L2"/>
  <c i="22" r="P2" s="1"/>
  <c i="22" r="O2" s="1"/>
  <c i="23" r="L2"/>
  <c i="23" r="P2" s="1"/>
  <c i="23" r="O2" s="1"/>
  <c i="24" r="L2"/>
  <c i="24" r="P2" s="1"/>
  <c i="24" r="O2" s="1"/>
  <c i="20" r="G2"/>
  <c i="19" r="G2"/>
  <c i="18" r="G2"/>
  <c i="21" r="L2"/>
  <c i="21" r="P2" s="1"/>
  <c i="21" r="O2" s="1"/>
  <c i="21" r="G2"/>
  <c i="20" r="L2"/>
  <c i="20" r="P2" s="1"/>
  <c i="20" r="O2" s="1"/>
  <c i="19" r="L2"/>
  <c i="19" r="P2" s="1"/>
  <c i="19" r="O2" s="1"/>
  <c i="18" r="L2"/>
  <c i="18" r="P2" s="1"/>
  <c i="18" r="O2" s="1"/>
  <c i="15" r="G2"/>
  <c i="16" r="G2"/>
  <c i="17" r="G2"/>
  <c i="17" r="L2"/>
  <c i="17" r="P2" s="1"/>
  <c i="17" r="O2" s="1"/>
  <c i="16" r="L2"/>
  <c i="16" r="P2" s="1"/>
  <c i="16" r="O2" s="1"/>
  <c i="15" r="L2"/>
  <c i="15" r="P2" s="1"/>
  <c i="15" r="O2" s="1"/>
  <c i="14" r="L2"/>
  <c i="14" r="P2" s="1"/>
  <c i="14" r="G2"/>
  <c i="11" r="G2"/>
  <c i="12" r="G2"/>
  <c i="13" r="G2"/>
  <c i="13" r="L2"/>
  <c i="13" r="P2" s="1"/>
  <c i="13" r="O2" s="1"/>
  <c i="12" r="L2"/>
  <c i="12" r="P2" s="1"/>
  <c i="12" r="O2" s="1"/>
  <c i="11" r="L2"/>
  <c i="11" r="P2" s="1"/>
  <c i="10" r="L2"/>
  <c i="10" r="P2" s="1"/>
  <c i="10" r="G2"/>
  <c i="9" r="G2"/>
  <c i="9" r="L2"/>
  <c i="9" r="P2" s="1"/>
  <c i="9" r="O2" s="1"/>
  <c i="6" r="L2"/>
  <c i="6" r="P2" s="1"/>
  <c i="6" r="O2" s="1"/>
  <c i="7" r="L2"/>
  <c i="7" r="P2" s="1"/>
  <c i="7" r="O2" s="1"/>
  <c i="8" r="L2"/>
  <c i="8" r="P2" s="1"/>
  <c i="8" r="O2" s="1"/>
  <c i="7" r="G2"/>
  <c i="8" r="G2"/>
  <c i="6" r="G2"/>
  <c i="14" l="1" r="O2"/>
  <c i="11" r="O2"/>
  <c i="10" r="O2"/>
  <c i="5" r="G2"/>
  <c i="5" r="P2"/>
  <c i="5" r="L2"/>
  <c i="4" r="P2"/>
  <c i="4" r="L2"/>
  <c i="3" r="G2"/>
  <c i="3" r="P2"/>
  <c i="3" r="L2"/>
  <c i="2" r="P2"/>
  <c i="2" r="L2"/>
  <c i="2" r="G2"/>
  <c i="1" l="1" r="L2"/>
  <c i="1" r="P2" s="1"/>
  <c i="1" r="G2"/>
  <c i="1" l="1" r="O2"/>
</calcChain>
</file>

<file path=xl/sharedStrings.xml><?xml version="1.0" encoding="utf-8"?>
<sst xmlns="http://schemas.openxmlformats.org/spreadsheetml/2006/main" count="1747" uniqueCount="265">
  <si>
    <t>Result</t>
  </si>
  <si>
    <t>Date</t>
  </si>
  <si>
    <t>Notes</t>
  </si>
  <si>
    <t>Execute</t>
  </si>
  <si>
    <t>Amount</t>
  </si>
  <si>
    <t>UDFID</t>
  </si>
  <si>
    <t>PaymentMethod</t>
  </si>
  <si>
    <t>PaymentPlanType</t>
  </si>
  <si>
    <t>PaymentPlanFrequency</t>
  </si>
  <si>
    <t>DivideYourPaymentPlan</t>
  </si>
  <si>
    <t>VTList1</t>
  </si>
  <si>
    <t>CFAmount</t>
  </si>
  <si>
    <t>VTList</t>
  </si>
  <si>
    <t>ReviewConvinienceFee</t>
  </si>
  <si>
    <t>Pass</t>
  </si>
  <si>
    <t>Y</t>
  </si>
  <si>
    <t>10.50</t>
  </si>
  <si>
    <t>1</t>
  </si>
  <si>
    <t>InstallmentPlan</t>
  </si>
  <si>
    <t>Daily</t>
  </si>
  <si>
    <t>NumberOfPayments</t>
  </si>
  <si>
    <t>AutomaticPayment</t>
  </si>
  <si>
    <t>RecurringAmount</t>
  </si>
  <si>
    <t>Deferred</t>
  </si>
  <si>
    <t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Name Appearing on Card:,	CAROLYN LINEBERGER,
Card Type:,	Visa,
Card Number:,	41****1111,
Expiration Date:,	09/2035,
Billing Address:,	7072 MAPLE GLEN DR,
CATAWBA, North Carolina NC 28609,
Country:,	UNITED STATES,3. Payment Plan Information,
Payment Plan Type:,	Automatic Payment 
Payment Plan Start Date:,	
4. Payment Plan, Amount due will be paid 3 calendar days before the Due Date</t>
  </si>
  <si>
    <t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First Name:,	CAROLYN,
Last Name:,	LINEBERGER,
Routing Number:,	****4974,
Account Number:,	****7002,
Billing Address:,	7072 MAPLE GLEN DR,
CATAWBA, North Carolina NC 28609,
Country:,	UNITED STATES,
Account Type:,	Personal Savings,3. Payment Plan Information,
Payment Plan Type:,	Automatic Payment 
Payment Plan Start Date:,	
4. Payment Plan, Amount due will be paid 3 calendar days before the Due Date</t>
  </si>
  <si>
    <t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First Name:,	CAROLYN,
Last Name:,	LINEBERGER,
Routing Number:,	****2691,
Account Number:,	****5489,
Billing Address:,	7072 MAPLE GLEN DR,
CATAWBA, North Carolina NC 28609,
Country:,	UNITED STATES,
Account Type:,	Personal Checking,3. Payment Plan Information,
Payment Plan Type:,	Automatic Payment 
Payment Plan Start Date:,	
4. Payment Plan, Amount due will be paid 3 calendar days before the Due Date</t>
  </si>
  <si>
    <t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Company Name:,	Terry Foundation,
First Name:,	CAROLYN,
Last Name:,	LINEBERGER,
Business Tax ID:,	999999999,
Routing Number:,	****4974,
Account Number:,	****8307,
Billing Address:,	7072 MAPLE GLEN DR,,
CATAWBA, North Carolina NC 28609
Country:,	UNITED STATES,
Account Type:,	Business Checking,3. Payment Plan Information,
Payment Plan Type:,	Automatic Payment 
Payment Plan Start Date:,	
4. Payment Plan, Amount due will be paid 3 calendar days before the Due Date</t>
  </si>
  <si>
    <t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First Name:,	CAROLYN,
Last Name:,	LINEBERGER,
Routing Number:,	****4974,
Account Number:,	****7002,
Billing Address:,	7072 MAPLE GLEN DR,
CATAWBA, North Carolina NC 28609,
Country:,	UNITED STATES,
Account Type:,	Personal Savings,
3. Payment Plan Information,
Payment Plan Type:,	Recurring,
Payment Plan Duration:,	Deferred,
Payment Plan Start Date:,	
4. Payment Plan,1 Deferred payment of $</t>
  </si>
  <si>
    <t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First Name:,	CAROLYN,
Last Name:,	LINEBERGER,
Routing Number:,	****2691,
Account Number:,	****5489,
Billing Address:,	7072 MAPLE GLEN DR,
CATAWBA, North Carolina NC 28609,
Country:,	UNITED STATES,
Account Type:,	Personal Checking,
3. Payment Plan Information,
Payment Plan Type:,	Recurring,
Payment Plan Duration:,	Deferred,
Payment Plan Start Date:,	
4. Payment Plan,1 Deferred payment of $</t>
  </si>
  <si>
    <t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Name Appearing on Card:,	CAROLYN LINEBERGER,
Card Type:,	Visa,
Card Number:,	41****1111,
Expiration Date:,	09/2035,
Billing Address:,	7072 MAPLE GLEN DR,
CATAWBA, North Carolina NC 28609,
Country:,	UNITED STATES,
3. Payment Plan Information,
Payment Plan Type:,	Recurring,
Payment Plan Duration:,	Deferred,
Payment Plan Start Date:,	
4. Payment Plan,1 Deferred payment of $</t>
  </si>
  <si>
    <t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First Name:,	CAROLYN,
Last Name:,	LINEBERGER,
Routing Number:,	****4974,
Account Number:,	****7002,
Billing Address:,	7072 MAPLE GLEN DR,
CATAWBA, North Carolina NC 28609,
Country:,	UNITED STATES,
Account Type:,	Personal Savings,
3. Payment Plan Information,
Payment Plan Type:,	Recurring,
Payment Plan Duration:,	Daily,
Payment Plan Start Date:,	
4. Payment Plan, Daily payments of $</t>
  </si>
  <si>
    <t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First Name:,	CAROLYN,
Last Name:,	LINEBERGER,
Routing Number:,	****2691,
Account Number:,	****5489,
Billing Address:,	7072 MAPLE GLEN DR,
CATAWBA, North Carolina NC 28609,
Country:,	UNITED STATES,
Account Type:,	Personal Checking,
3. Payment Plan Information,
Payment Plan Type:,	Recurring,
Payment Plan Duration:,	Daily,
Payment Plan Start Date:,	
4. Payment Plan, Daily payments of $</t>
  </si>
  <si>
    <t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Company Name:,	Terry Foundation,
First Name:,	CAROLYN,
Last Name:,	LINEBERGER,
Business Tax ID:,	999999999,
Routing Number:,	****4974,
Account Number:,	****8307,
Billing Address:,	7072 MAPLE GLEN DR,,
CATAWBA, North Carolina NC 28609
Country:,	UNITED STATES,
Account Type:,	Business Checking,
3. Payment Plan Information,
Payment Plan Type:,	Recurring,
Payment Plan Duration:,	Daily,
Payment Plan Start Date:,	
4. Payment Plan, Daily payments of $</t>
  </si>
  <si>
    <t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Name Appearing on Card:,	CAROLYN LINEBERGER,
Card Type:,	Visa,
Card Number:,	41****1111,
Expiration Date:,	09/2035,
Billing Address:,	7072 MAPLE GLEN DR,
CATAWBA, North Carolina NC 28609,
Country:,	UNITED STATES,
3. Payment Plan Information,
Payment Plan Type:,	Recurring,
Payment Plan Duration:,	Daily,
Payment Plan Start Date:,	
4. Payment Plan, Daily payments of $</t>
  </si>
  <si>
    <t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First Name:,	CAROLYN,
Last Name:,	LINEBERGER,
Routing Number:,	****4974,
Account Number:,	****7002,
Billing Address:,	7072 MAPLE GLEN DR,
CATAWBA, North Carolina NC 28609,
Country:,	UNITED STATES,
Account Type:,	Personal Savings,
3. Payment Plan Information,
Payment Plan Type:,	Installment Plan,
Payment Plan Duration:,	Deferred,
Payment Plan Start Date:,	
4. Payment Plan,1 Deferred payment of $</t>
  </si>
  <si>
    <t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Name Appearing on Card:,	CAROLYN LINEBERGER,
Card Type:,	Visa,
Card Number:,	41****1111,
Expiration Date:,	09/2035,
Billing Address:,	7072 MAPLE GLEN DR,
CATAWBA, North Carolina NC 28609,
Country:,	UNITED STATES,
3. Payment Plan Information,
Payment Plan Type:,	Installment Plan,
Payment Plan Duration:,	Deferred,
Payment Plan Start Date:,	
4. Payment Plan,1 Deferred payment of $</t>
  </si>
  <si>
    <t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Company Name:,	Terry Foundation,
First Name:,	CAROLYN,
Last Name:,	LINEBERGER,
Business Tax ID:,	999999999,
Routing Number:,	****4974,
Account Number:,	****8307,
Billing Address:,	7072 MAPLE GLEN DR,,
CATAWBA, North Carolina NC 28609
Country:,	UNITED STATES,
Account Type:,	Business Checking,
3. Payment Plan Information,
Payment Plan Type:,	Installment Plan,
Payment Plan Duration:,	Deferred,
Payment Plan Start Date:,	
4. Payment Plan,1 Deferred payment of $</t>
  </si>
  <si>
    <t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First Name:,	CAROLYN,
Last Name:,	LINEBERGER,
Routing Number:,	****2691,
Account Number:,	****5489,
Billing Address:,	7072 MAPLE GLEN DR,
CATAWBA, North Carolina NC 28609,
Country:,	UNITED STATES,
Account Type:,	Personal Checking,
3. Payment Plan Information,
Payment Plan Type:,	Installment Plan,
Payment Plan Duration:,	Deferred,
Payment Plan Start Date:,	
4. Payment Plan,1 Deferred payment of $</t>
  </si>
  <si>
    <t>IndividualAmount</t>
  </si>
  <si>
    <t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Company Name:,	Terry Foundation,
First Name:,	CAROLYN,
Last Name:,	LINEBERGER,
Business Tax ID:,	999999999,
Routing Number:,	****4974,
Account Number:,	****8307,
Billing Address:,	7072 MAPLE GLEN DR,,
CATAWBA, North Carolina NC 28609
Country:,	UNITED STATES,
Account Type:,	Business Checking,
3. Payment Plan Information,
Payment Plan Type:,	Installment Plan,
Payment Plan Duration:,	Daily,
Payment Plan Start Date:,	
4. Payment Plan,1 Daily payment of $</t>
  </si>
  <si>
    <t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Name Appearing on Card:,	CAROLYN LINEBERGER,
Card Type:,	Visa,
Card Number:,	41****1111,
Expiration Date:,	09/2035,
Billing Address:,	7072 MAPLE GLEN DR,
CATAWBA, North Carolina NC 28609,
Country:,	UNITED STATES,
3. Payment Plan Information,
Payment Plan Type:,	Installment Plan,
Payment Plan Duration:,	Daily,
Payment Plan Start Date:,	
4. Payment Plan,1 Daily payment of $</t>
  </si>
  <si>
    <t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First Name:,	CAROLYN,
Last Name:,	LINEBERGER,
Routing Number:,	****4974,
Account Number:,	****7002,
Billing Address:,	7072 MAPLE GLEN DR,
CATAWBA, North Carolina NC 28609,
Country:,	UNITED STATES,
Account Type:,	Personal Savings,
3. Payment Plan Information,
Payment Plan Type:,	Installment Plan,
Payment Plan Duration:,	Daily,
Payment Plan Start Date:,	
4. Payment Plan,1 Daily payment of $</t>
  </si>
  <si>
    <t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First Name:,	CAROLYN,
Last Name:,	LINEBERGER,
Routing Number:,	****2691,
Account Number:,	****5489,
Billing Address:,	7072 MAPLE GLEN DR,
CATAWBA, North Carolina NC 28609,
Country:,	UNITED STATES,
Account Type:,	Personal Checking,
3. Payment Plan Information,
Payment Plan Type:,	Installment Plan,
Payment Plan Duration:,	Daily,
Payment Plan Start Date:,	
4. Payment Plan,1 Daily payment of $</t>
  </si>
  <si>
    <t>Monthly</t>
  </si>
  <si>
    <t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Company Name:,Terry Foundation,
First Name:,	CAROLYN,
Last Name:,	LINEBERGER,
Business Tax ID:,999999999,
Routing Number:,****4974,
Account Number:,****8307,
Billing Address:,7072 MAPLE GLEN DR,
CATAWBA, North Carolina NC 28609,
Country:,UNITED STATES,
Account Type:,Business Checking,
3. Payment Plan Information,
Payment Plan Type:,	Recurring,
Payment Plan Duration:,	Monthly,
Payment Plan Start Date:,	
4. Payment Plan,Monthly payments of $</t>
  </si>
  <si>
    <t>Fri Dec 26 21:03:14 IST 2025</t>
  </si>
  <si>
    <t>Fri Dec 26 21:04:25 IST 2025</t>
  </si>
  <si>
    <t>Fri Dec 26 21:05:47 IST 2025</t>
  </si>
  <si>
    <t>Fri Dec 26 21:07:08 IST 2025</t>
  </si>
  <si>
    <t>Fri Dec 26 21:08:25 IST 2025</t>
  </si>
  <si>
    <t>Fri Dec 26 21:09:40 IST 2025</t>
  </si>
  <si>
    <t>Fri Dec 26 21:10:52 IST 2025</t>
  </si>
  <si>
    <t>Fri Dec 26 21:12:08 IST 2025</t>
  </si>
  <si>
    <t>Fri Dec 26 21:13:42 IST 2025</t>
  </si>
  <si>
    <t>Fri Dec 26 21:15:15 IST 2025</t>
  </si>
  <si>
    <t>Fri Dec 26 21:16:43 IST 2025</t>
  </si>
  <si>
    <t>Fri Dec 26 21:19:35 IST 2025</t>
  </si>
  <si>
    <t>Fri Dec 26 21:20:55 IST 2025</t>
  </si>
  <si>
    <t>Fri Dec 26 21:22:08 IST 2025</t>
  </si>
  <si>
    <t>Fri Dec 26 21:23:41 IST 2025</t>
  </si>
  <si>
    <t>Fri Dec 26 21:25:14 IST 2025</t>
  </si>
  <si>
    <t>Fri Dec 26 21:26:50 IST 2025</t>
  </si>
  <si>
    <t>Fri Dec 26 21:28:06 IST 2025</t>
  </si>
  <si>
    <t>Fri Dec 26 21:29:32 IST 2025</t>
  </si>
  <si>
    <t>Fri Dec 26 21:30:43 IST 2025</t>
  </si>
  <si>
    <t>Fri Dec 26 21:32:28 IST 2025</t>
  </si>
  <si>
    <t>Fri Dec 26 21:34:04 IST 2025</t>
  </si>
  <si>
    <t>Fri Dec 26 21:35:30 IST 2025</t>
  </si>
  <si>
    <t>Fri Dec 26 21:37:24 IST 2025</t>
  </si>
  <si>
    <t>Fri Jan 09 18:04:11 IST 2026</t>
  </si>
  <si>
    <t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Company Name:,	Terry Foundation,
First Name:,	CAROLYN,
Last Name:,	LINEBERGER,
Routing Number:,	****4974,
Account Number:,	****8307,
Billing Address:,	7072 MAPLE GLEN DR,
CATAWBA, North Carolina NC 28609
Country:,	UNITED STATES,
Account Type:,	Business Checking,
3. Payment Plan Information,
Payment Plan Type:,	Recurring,
Payment Plan Duration:,	Deferred,
Payment Plan Start Date:,	
4. Payment Plan,1 Deferred payment of $</t>
  </si>
  <si>
    <t/>
  </si>
  <si>
    <t>Fri Jan 09 18:08:29 IST 2026</t>
  </si>
  <si>
    <t>Fri Jan 09 18:15:25 IST 2026</t>
  </si>
  <si>
    <t>Tue Mar 10 03:32:14 IST 2026</t>
  </si>
  <si>
    <t>Tue Mar 10 03:33:14 IST 2026</t>
  </si>
  <si>
    <t>Tue Mar 10 03:34:27 IST 2026</t>
  </si>
  <si>
    <t>Tue Mar 10 03:35:41 IST 2026</t>
  </si>
  <si>
    <t>Tue Mar 10 03:36:55 IST 2026</t>
  </si>
  <si>
    <t>Tue Mar 10 03:38:02 IST 2026</t>
  </si>
  <si>
    <t>Tue Mar 10 03:39:15 IST 2026</t>
  </si>
  <si>
    <t>Tue Mar 10 03:40:26 IST 2026</t>
  </si>
  <si>
    <t>Tue Mar 10 03:42:01 IST 2026</t>
  </si>
  <si>
    <t>Tue Mar 10 03:43:26 IST 2026</t>
  </si>
  <si>
    <t>Tue Mar 10 03:44:50 IST 2026</t>
  </si>
  <si>
    <t>Tue Mar 10 03:46:12 IST 2026</t>
  </si>
  <si>
    <t>Tue Mar 10 03:47:38 IST 2026</t>
  </si>
  <si>
    <t>Tue Mar 10 03:48:51 IST 2026</t>
  </si>
  <si>
    <t>Tue Mar 10 03:49:58 IST 2026</t>
  </si>
  <si>
    <t>Tue Mar 10 03:51:42 IST 2026</t>
  </si>
  <si>
    <t>Tue Mar 10 03:53:07 IST 2026</t>
  </si>
  <si>
    <t>Tue Mar 10 03:54:28 IST 2026</t>
  </si>
  <si>
    <t>Tue Mar 10 03:55:51 IST 2026</t>
  </si>
  <si>
    <t>Tue Mar 10 03:57:15 IST 2026</t>
  </si>
  <si>
    <t>Tue Mar 10 03:58:20 IST 2026</t>
  </si>
  <si>
    <t>Tue Mar 10 03:59:56 IST 2026</t>
  </si>
  <si>
    <t>Tue Mar 10 04:01:34 IST 2026</t>
  </si>
  <si>
    <t>Tue Mar 10 04:02:50 IST 2026</t>
  </si>
  <si>
    <t>Tue Mar 10 04:04:14 IST 2026</t>
  </si>
  <si>
    <t>Wed Mar 11 00:30:50 IST 2026</t>
  </si>
  <si>
    <t>Tue Jun 02 11:50:39 IST 2026</t>
  </si>
  <si>
    <t>Tue Jun 02 11:51:38 IST 2026</t>
  </si>
  <si>
    <t>Tue Jun 02 11:52:52 IST 2026</t>
  </si>
  <si>
    <t>Tue Jun 02 11:54:06 IST 2026</t>
  </si>
  <si>
    <t>Tue Jun 02 11:55:23 IST 2026</t>
  </si>
  <si>
    <t>Tue Jun 02 11:56:30 IST 2026</t>
  </si>
  <si>
    <t>Tue Jun 02 11:57:45 IST 2026</t>
  </si>
  <si>
    <t>Tue Jun 02 11:59:07 IST 2026</t>
  </si>
  <si>
    <t>Tue Jun 02 12:00:45 IST 2026</t>
  </si>
  <si>
    <t>Tue Jun 02 12:02:09 IST 2026</t>
  </si>
  <si>
    <t>Tue Jun 02 12:03:34 IST 2026</t>
  </si>
  <si>
    <t>Tue Jun 02 12:04:58 IST 2026</t>
  </si>
  <si>
    <t>Fail</t>
  </si>
  <si>
    <t>Tue Jun 02 12:06:24 IST 2026</t>
  </si>
  <si>
    <t>Tue Jun 02 12:07:33 IST 2026</t>
  </si>
  <si>
    <t>Tue Jun 02 12:08:28 IST 2026</t>
  </si>
  <si>
    <t>Tue Jun 02 12:09:44 IST 2026</t>
  </si>
  <si>
    <t>Tue Jun 02 12:11:10 IST 2026</t>
  </si>
  <si>
    <t>Tue Jun 02 12:12:37 IST 2026</t>
  </si>
  <si>
    <t>Tue Jun 02 12:14:02 IST 2026</t>
  </si>
  <si>
    <t>Tue Jun 02 12:16:22 IST 2026</t>
  </si>
  <si>
    <t>Tue Jun 02 12:17:38 IST 2026</t>
  </si>
  <si>
    <t>Tue Jun 02 12:18:58 IST 2026</t>
  </si>
  <si>
    <t>Tue Jun 02 12:20:32 IST 2026</t>
  </si>
  <si>
    <t>Tue Jun 02 12:21:57 IST 2026</t>
  </si>
  <si>
    <t>Tue Jun 02 12:23:23 IST 2026</t>
  </si>
  <si>
    <t>Fri Jun 05 21:41:50 IST 2026</t>
  </si>
  <si>
    <t>Fri Jun 05 21:49:02 IST 2026</t>
  </si>
  <si>
    <t>Fri Jun 05 22:02:04 IST 2026</t>
  </si>
  <si>
    <t>Fri Jun 05 22:04:47 IST 2026</t>
  </si>
  <si>
    <t>Fri Jun 05 22:07:29 IST 2026</t>
  </si>
  <si>
    <t>Fri Jun 05 22:10:10 IST 2026</t>
  </si>
  <si>
    <t>Fri Jun 05 22:12:17 IST 2026</t>
  </si>
  <si>
    <t>Fri Jun 05 22:14:45 IST 2026</t>
  </si>
  <si>
    <t>Fri Jun 05 22:17:07 IST 2026</t>
  </si>
  <si>
    <t>Mon Jun 08 21:32:30 IST 2026</t>
  </si>
  <si>
    <t>Mon Jun 08 21:40:16 IST 2026</t>
  </si>
  <si>
    <t>Mon Jun 08 21:46:35 IST 2026</t>
  </si>
  <si>
    <t>Mon Jun 08 21:54:55 IST 2026</t>
  </si>
  <si>
    <t>Mon Jun 08 21:57:38 IST 2026</t>
  </si>
  <si>
    <t>Mon Jun 08 22:00:33 IST 2026</t>
  </si>
  <si>
    <t>Fri Jun 19 02:35:43 IST 2026</t>
  </si>
  <si>
    <t>Fri Jun 19 02:37:00 IST 2026</t>
  </si>
  <si>
    <t>Fri Jun 19 02:38:25 IST 2026</t>
  </si>
  <si>
    <t>Fri Jun 19 02:39:46 IST 2026</t>
  </si>
  <si>
    <t>Fri Jun 19 02:41:06 IST 2026</t>
  </si>
  <si>
    <t>Fri Jun 19 02:42:24 IST 2026</t>
  </si>
  <si>
    <t>Fri Jun 19 02:44:42 IST 2026</t>
  </si>
  <si>
    <t>Fri Jun 19 02:45:58 IST 2026</t>
  </si>
  <si>
    <t>Fri Jun 19 02:47:46 IST 2026</t>
  </si>
  <si>
    <t>Fri Jun 19 02:49:20 IST 2026</t>
  </si>
  <si>
    <t>Fri Jun 19 02:51:02 IST 2026</t>
  </si>
  <si>
    <t>Fri Jun 19 02:52:31 IST 2026</t>
  </si>
  <si>
    <t>Fri Jun 19 02:54:02 IST 2026</t>
  </si>
  <si>
    <t>Fri Jun 19 02:55:15 IST 2026</t>
  </si>
  <si>
    <t>Fri Jun 19 02:56:35 IST 2026</t>
  </si>
  <si>
    <t>Fri Jun 19 02:58:15 IST 2026</t>
  </si>
  <si>
    <t>Fri Jun 19 02:59:47 IST 2026</t>
  </si>
  <si>
    <t>Fri Jun 19 03:01:18 IST 2026</t>
  </si>
  <si>
    <t>Fri Jun 19 03:02:46 IST 2026</t>
  </si>
  <si>
    <t>Fri Jun 19 03:04:15 IST 2026</t>
  </si>
  <si>
    <t>Fri Jun 19 03:05:32 IST 2026</t>
  </si>
  <si>
    <t>Fri Jun 19 03:07:17 IST 2026</t>
  </si>
  <si>
    <t>Fri Jun 19 03:09:00 IST 2026</t>
  </si>
  <si>
    <t>Fri Jun 19 03:10:30 IST 2026</t>
  </si>
  <si>
    <t>Fri Jun 19 03:12:03 IST 2026</t>
  </si>
  <si>
    <t>Fri Jun 19 12:53:39 IST 2026</t>
  </si>
  <si>
    <t>Fri Jun 19 12:54:58 IST 2026</t>
  </si>
  <si>
    <t>Fri Jun 19 13:08:21 IST 2026</t>
  </si>
  <si>
    <t>Fri Jun 19 13:09:53 IST 2026</t>
  </si>
  <si>
    <t>Fri Jun 19 13:11:18 IST 2026</t>
  </si>
  <si>
    <t>Fri Jun 19 13:12:41 IST 2026</t>
  </si>
  <si>
    <t>Fri Jun 19 13:14:37 IST 2026</t>
  </si>
  <si>
    <t>Fri Jun 19 13:16:22 IST 2026</t>
  </si>
  <si>
    <t>Fri Jun 19 13:17:59 IST 2026</t>
  </si>
  <si>
    <t>Fri Jun 19 13:19:36 IST 2026</t>
  </si>
  <si>
    <t>Fri Jun 19 13:21:16 IST 2026</t>
  </si>
  <si>
    <t>Fri Jun 19 13:22:41 IST 2026</t>
  </si>
  <si>
    <t>Fri Jun 19 13:28:02 IST 2026</t>
  </si>
  <si>
    <t>Fri Jun 19 13:29:38 IST 2026</t>
  </si>
  <si>
    <t>Fri Jun 19 13:31:20 IST 2026</t>
  </si>
  <si>
    <t>Fri Jun 19 13:32:55 IST 2026</t>
  </si>
  <si>
    <t>Fri Jun 19 13:34:37 IST 2026</t>
  </si>
  <si>
    <t>Fri Jun 19 13:37:22 IST 2026</t>
  </si>
  <si>
    <t>Fri Jun 19 13:39:06 IST 2026</t>
  </si>
  <si>
    <t>Fri Jun 19 13:40:44 IST 2026</t>
  </si>
  <si>
    <t>Fri Jun 19 13:43:12 IST 2026</t>
  </si>
  <si>
    <t>Fri Jun 19 13:48:50 IST 2026</t>
  </si>
  <si>
    <t>Fri Jun 19 13:51:51 IST 2026</t>
  </si>
  <si>
    <t>Sat Aug 08 20:11:21 IST 2026</t>
  </si>
  <si>
    <t>Sat Aug 08 20:12:05 IST 2026</t>
  </si>
  <si>
    <t>Sat Aug 08 20:13:17 IST 2026</t>
  </si>
  <si>
    <t>Sat Aug 08 20:14:32 IST 2026</t>
  </si>
  <si>
    <t>Sat Aug 08 20:15:31 IST 2026</t>
  </si>
  <si>
    <t>Sat Aug 08 20:16:43 IST 2026</t>
  </si>
  <si>
    <t>Sat Aug 08 20:17:53 IST 2026</t>
  </si>
  <si>
    <t>Sat Aug 08 20:19:04 IST 2026</t>
  </si>
  <si>
    <t>Sat Aug 08 20:20:13 IST 2026</t>
  </si>
  <si>
    <t>Sat Aug 08 20:21:16 IST 2026</t>
  </si>
  <si>
    <t>Sat Aug 08 20:22:30 IST 2026</t>
  </si>
  <si>
    <t>Sat Aug 08 20:23:52 IST 2026</t>
  </si>
  <si>
    <t>Sat Aug 08 20:25:14 IST 2026</t>
  </si>
  <si>
    <t>Sat Aug 08 20:26:24 IST 2026</t>
  </si>
  <si>
    <t>Sat Aug 08 20:27:37 IST 2026</t>
  </si>
  <si>
    <t>Sat Aug 08 20:29:07 IST 2026</t>
  </si>
  <si>
    <t>Sat Aug 08 20:30:32 IST 2026</t>
  </si>
  <si>
    <t>Sat Aug 08 20:31:49 IST 2026</t>
  </si>
  <si>
    <t>Sat Aug 08 20:34:15 IST 2026</t>
  </si>
  <si>
    <t>Sat Aug 08 20:35:24 IST 2026</t>
  </si>
  <si>
    <t>Sat Aug 08 20:36:22 IST 2026</t>
  </si>
  <si>
    <t>Sat Aug 08 20:37:34 IST 2026</t>
  </si>
  <si>
    <t>Sat Aug 08 20:38:45 IST 2026</t>
  </si>
  <si>
    <t>Sat Aug 08 20:40:02 IST 2026</t>
  </si>
  <si>
    <t>Sat Aug 08 20:41:18 IST 2026</t>
  </si>
  <si>
    <t>Sat Aug 15 01:20:39 IST 2026</t>
  </si>
  <si>
    <t>Sat Aug 15 01:21:34 IST 2026</t>
  </si>
  <si>
    <t>Sat Aug 15 01:22:22 IST 2026</t>
  </si>
  <si>
    <t>Sat Aug 15 01:23:11 IST 2026</t>
  </si>
  <si>
    <t>Sat Aug 15 01:24:13 IST 2026</t>
  </si>
  <si>
    <t>Sat Aug 15 01:25:13 IST 2026</t>
  </si>
  <si>
    <t>Sat Aug 15 01:26:13 IST 2026</t>
  </si>
  <si>
    <t>Sat Aug 15 01:27:21 IST 2026</t>
  </si>
  <si>
    <t>Sat Aug 15 01:28:54 IST 2026</t>
  </si>
  <si>
    <t>Sat Aug 15 01:29:53 IST 2026</t>
  </si>
  <si>
    <t>Sat Aug 15 01:31:03 IST 2026</t>
  </si>
  <si>
    <t>Sat Aug 15 01:32:20 IST 2026</t>
  </si>
  <si>
    <t>Sat Aug 15 01:33:40 IST 2026</t>
  </si>
  <si>
    <t>Sat Aug 15 01:34:41 IST 2026</t>
  </si>
  <si>
    <t>Sat Aug 15 01:35:31 IST 2026</t>
  </si>
  <si>
    <t>Sat Aug 15 01:36:42 IST 2026</t>
  </si>
  <si>
    <t>Sat Aug 15 01:37:42 IST 2026</t>
  </si>
  <si>
    <t>Sat Aug 15 01:38:55 IST 2026</t>
  </si>
  <si>
    <t>Sat Aug 15 01:40:05 IST 2026</t>
  </si>
  <si>
    <t>Sat Aug 15 01:41:27 IST 2026</t>
  </si>
  <si>
    <t>Sat Aug 15 01:42:16 IST 2026</t>
  </si>
  <si>
    <t>Sat Aug 15 01:43:44 IST 2026</t>
  </si>
  <si>
    <t>Sat Aug 15 01:45:10 IST 2026</t>
  </si>
  <si>
    <t>Sat Aug 15 01:46:23 IST 2026</t>
  </si>
  <si>
    <t>Sat Aug 15 01:47:41 IST 2026</t>
  </si>
  <si>
    <t>Fri Sep 18 01:38:15 IST 2026</t>
  </si>
  <si>
    <t>Fri Sep 18 01:39:00 IST 2026</t>
  </si>
  <si>
    <t>Fri Sep 18 01:39:56 IST 2026</t>
  </si>
  <si>
    <t>Fri Sep 18 01:41:10 IST 2026</t>
  </si>
  <si>
    <t>Fri Sep 18 01:42:27 IST 2026</t>
  </si>
  <si>
    <t>Fri Sep 18 01:43:42 IST 2026</t>
  </si>
  <si>
    <t>Fri Sep 18 01:44:49 IST 2026</t>
  </si>
  <si>
    <t>Fri Sep 18 01:45:46 IST 2026</t>
  </si>
  <si>
    <t>Fri Sep 18 01:47:22 IST 2026</t>
  </si>
  <si>
    <t>Fri Sep 18 01:48:24 IST 2026</t>
  </si>
  <si>
    <t>Fri Sep 18 01:49:50 IST 2026</t>
  </si>
  <si>
    <t>Fri Sep 18 01:51:01 IST 2026</t>
  </si>
  <si>
    <t>Fri Sep 18 01:52:11 IST 2026</t>
  </si>
  <si>
    <t>Fri Sep 18 01:53:19 IST 2026</t>
  </si>
  <si>
    <t>Fri Sep 18 01:54:15 IST 2026</t>
  </si>
  <si>
    <t>Fri Sep 18 01:55:34 IST 2026</t>
  </si>
  <si>
    <t>Fri Sep 18 01:56:40 IST 2026</t>
  </si>
  <si>
    <t>Fri Sep 18 01:58:02 IST 2026</t>
  </si>
  <si>
    <t>Fri Sep 18 01:59:23 IST 2026</t>
  </si>
  <si>
    <t>Fri Sep 18 02:00:38 IST 2026</t>
  </si>
  <si>
    <t>Fri Sep 18 02:01:40 IST 2026</t>
  </si>
  <si>
    <t>Fri Sep 18 02:11:04 IST 2026</t>
  </si>
  <si>
    <t>Fri Sep 18 02:19:14 IST 2026</t>
  </si>
  <si>
    <t>Fri Sep 18 02:20:41 IST 2026</t>
  </si>
  <si>
    <t>Fri Sep 18 02:21:58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</si>
</sst>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borderId="0" fillId="0" fontId="0" numFmtId="0"/>
  </cellStyleXfs>
  <cellXfs count="11">
    <xf borderId="0" fillId="0" fontId="0" numFmtId="0" xfId="0"/>
    <xf applyAlignment="1" applyBorder="1" applyNumberFormat="1" borderId="1" fillId="0" fontId="0" numFmtId="49" xfId="0">
      <alignment wrapText="1"/>
    </xf>
    <xf applyAlignment="1" applyFont="1" borderId="0" fillId="0" fontId="1" numFmtId="0" xfId="0">
      <alignment vertical="center"/>
    </xf>
    <xf applyAlignment="1" applyBorder="1" applyNumberFormat="1" borderId="2" fillId="0" fontId="0" numFmtId="49" xfId="0">
      <alignment wrapText="1"/>
    </xf>
    <xf applyAlignment="1" applyBorder="1" borderId="1" fillId="0" fontId="0" numFmtId="0" xfId="0">
      <alignment vertical="top" wrapText="1"/>
    </xf>
    <xf applyAlignment="1" applyBorder="1" applyNumberFormat="1" borderId="1" fillId="0" fontId="0" numFmtId="49" xfId="0">
      <alignment vertical="top" wrapText="1"/>
    </xf>
    <xf applyAlignment="1" borderId="0" fillId="0" fontId="0" numFmtId="0" xfId="0">
      <alignment vertical="top" wrapText="1"/>
    </xf>
    <xf applyAlignment="1" applyNumberFormat="1" borderId="0" fillId="0" fontId="0" numFmtId="164" xfId="0">
      <alignment vertical="top" wrapText="1"/>
    </xf>
    <xf applyAlignment="1" applyNumberFormat="1" borderId="0" fillId="0" fontId="0" numFmtId="2" xfId="0">
      <alignment vertical="top" wrapText="1"/>
    </xf>
    <xf applyAlignment="1" borderId="0" fillId="0" fontId="0" numFmtId="0" xfId="0">
      <alignment horizontal="center" vertical="top" wrapText="1"/>
    </xf>
    <xf applyAlignment="1" borderId="0" fillId="0" fontId="0" numFmtId="0" xfId="0">
      <alignment wrapText="1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theme/theme1.xml" Type="http://schemas.openxmlformats.org/officeDocument/2006/relationships/theme"/><Relationship Id="rId27" Target="styles.xml" Type="http://schemas.openxmlformats.org/officeDocument/2006/relationships/styles"/><Relationship Id="rId28" Target="sharedStrings.xml" Type="http://schemas.openxmlformats.org/officeDocument/2006/relationships/sharedStrings"/><Relationship Id="rId29" Target="calcChain.xml" Type="http://schemas.openxmlformats.org/officeDocument/2006/relationships/calcChain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opLeftCell="A2" workbookViewId="0">
      <selection activeCell="G2" sqref="G2"/>
    </sheetView>
  </sheetViews>
  <sheetFormatPr defaultRowHeight="14.5" x14ac:dyDescent="0.35"/>
  <cols>
    <col min="7" max="7" customWidth="true" width="23.6328125" collapsed="true"/>
    <col min="11" max="11" customWidth="true" width="30.269531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248</v>
      </c>
      <c r="C2" s="4"/>
      <c r="D2" s="5" t="s">
        <v>15</v>
      </c>
      <c r="E2" s="5" t="s">
        <v>16</v>
      </c>
      <c r="F2" s="5" t="s">
        <v>17</v>
      </c>
      <c r="G2" t="str" s="0">
        <f>"Smith"</f>
        <v>Smith</v>
      </c>
      <c r="H2" t="s" s="0">
        <v>18</v>
      </c>
      <c r="I2" t="s" s="0">
        <v>19</v>
      </c>
      <c r="J2" t="s" s="0">
        <v>20</v>
      </c>
      <c r="K2" s="6" t="s">
        <v>40</v>
      </c>
      <c r="L2" s="6" t="str">
        <f ca="1">TEXT(TODAY()+1,"mm/dd/yyyy")</f>
        <v>01/10/2026</v>
      </c>
      <c r="M2" s="7">
        <v>10</v>
      </c>
      <c r="N2" s="8">
        <v>2</v>
      </c>
      <c r="O2" s="9" t="str">
        <f ca="1">K2&amp;TEXT(M2,"0.00")&amp;" on "&amp;L2&amp;","&amp;P2</f>
        <v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Company Name:,	Terry Foundation,
First Name:,	CAROLYN,
Last Name:,	LINEBERGER,
Business Tax ID:,	999999999,
Routing Number:,	****4974,
Account Number:,	****8307,
Billing Address:,	7072 MAPLE GLEN DR,,
CATAWBA, North Carolina NC 28609
Country:,	UNITED STATES,
Account Type:,	Business Checking,
3. Payment Plan Information,
Payment Plan Type:,	Installment Plan,
Payment Plan Duration:,	Daily,
Payment Plan Start Date:,	
4. Payment Plan,1 Daily payment of $10.00 on 01/10/2026,A Convenience Fee will be added to each transaction issued for 1 Daily payment of 2.00 starting on 01/10/2026 ,Individual Convenience Fee Amount:,	
Total Convenience Fees Paid:,	
Total Paid under this plan:</v>
      </c>
      <c r="P2" s="10" t="str">
        <f ca="1">"A Convenience Fee will be added to each transaction issued for 1 Daily payment of "&amp;  TEXT(N2,"0.00")&amp;" starting on "&amp;L2&amp;" ,Individual Convenience Fee Amount:,	
Total Convenience Fees Paid:,	
Total Paid under this plan:"</f>
        <v>A Convenience Fee will be added to each transaction issued for 1 Daily payment of 2.00 starting on 01/10/2026 ,Individual Convenience Fee Amount:,	
Total Convenience Fees Paid:,	
Total Paid under this plan:</v>
      </c>
    </row>
  </sheetData>
  <pageMargins bottom="0.75" footer="0.3" header="0.3" left="0.7" right="0.7" top="0.75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468B6-189E-4673-8A1F-0ED1617BC5B6}">
  <dimension ref="A1:P2"/>
  <sheetViews>
    <sheetView workbookViewId="0">
      <selection activeCell="K2" sqref="K2"/>
    </sheetView>
  </sheetViews>
  <sheetFormatPr defaultRowHeight="14.5" x14ac:dyDescent="0.35"/>
  <cols>
    <col min="11" max="11" customWidth="true" width="21.906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246</v>
      </c>
      <c r="C2" s="4"/>
      <c r="D2" s="5" t="s">
        <v>15</v>
      </c>
      <c r="E2" s="5" t="s">
        <v>16</v>
      </c>
      <c r="F2" s="5" t="s">
        <v>17</v>
      </c>
      <c r="G2" t="str" s="0">
        <f>"Smith"</f>
        <v>Smith</v>
      </c>
      <c r="H2" t="s" s="0">
        <v>21</v>
      </c>
      <c r="I2" t="s" s="0">
        <v>19</v>
      </c>
      <c r="J2" t="s" s="0">
        <v>20</v>
      </c>
      <c r="K2" s="6" t="s">
        <v>27</v>
      </c>
      <c r="L2" s="6" t="str">
        <f ca="1">TEXT(TODAY()+1,"mm/dd/yyyy")</f>
        <v>01/10/2026</v>
      </c>
      <c r="M2" s="7">
        <v>10</v>
      </c>
      <c r="N2" s="8">
        <v>2</v>
      </c>
      <c r="O2" s="9"/>
      <c r="P2" s="10" t="str">
        <f>"Individual Convenience Fee Amount:,	
Total Convenience Fees Paid:,	
Total Paid under this plan:"</f>
        <v>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1E8BE-D33F-4968-8266-BE3EF6209F01}">
  <dimension ref="A1:P2"/>
  <sheetViews>
    <sheetView workbookViewId="0">
      <selection activeCell="G2" sqref="G2"/>
    </sheetView>
  </sheetViews>
  <sheetFormatPr defaultRowHeight="14.5" x14ac:dyDescent="0.35"/>
  <cols>
    <col min="7" max="7" bestFit="true" customWidth="true" width="13.90625" collapsed="true"/>
    <col min="8" max="8" bestFit="true" customWidth="true" width="16.7265625" collapsed="true"/>
    <col min="9" max="9" bestFit="true" customWidth="true" width="20.453125" collapsed="true"/>
    <col min="11" max="11" customWidth="true" width="22.63281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253</v>
      </c>
      <c r="C2" s="4"/>
      <c r="D2" s="5" t="s">
        <v>15</v>
      </c>
      <c r="E2" s="5" t="s">
        <v>16</v>
      </c>
      <c r="F2" s="5" t="s">
        <v>17</v>
      </c>
      <c r="G2" t="str" s="0">
        <f>"Carlos"</f>
        <v>Carlos</v>
      </c>
      <c r="H2" t="s" s="0">
        <v>21</v>
      </c>
      <c r="I2" t="s" s="0">
        <v>19</v>
      </c>
      <c r="J2" t="s" s="0">
        <v>20</v>
      </c>
      <c r="K2" s="6" t="s">
        <v>26</v>
      </c>
      <c r="L2" s="6" t="str">
        <f ca="1">TEXT(TODAY()+1,"mm/dd/yyyy")</f>
        <v>01/10/2026</v>
      </c>
      <c r="M2" s="7">
        <v>10</v>
      </c>
      <c r="N2" s="8">
        <v>2</v>
      </c>
      <c r="O2" s="9"/>
      <c r="P2" s="10" t="str">
        <f>"Individual Convenience Fee Amount:,	
Total Convenience Fees Paid:,	
Total Paid under this plan:"</f>
        <v>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DAF58-F67E-4B6A-98CB-1AEB684984F2}">
  <dimension ref="A1:P2"/>
  <sheetViews>
    <sheetView workbookViewId="0">
      <selection activeCell="G2" sqref="G2"/>
    </sheetView>
  </sheetViews>
  <sheetFormatPr defaultRowHeight="14.5" x14ac:dyDescent="0.35"/>
  <cols>
    <col min="11" max="11" customWidth="true" width="19.63281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259</v>
      </c>
      <c r="C2" s="4"/>
      <c r="D2" s="5" t="s">
        <v>15</v>
      </c>
      <c r="E2" s="5" t="s">
        <v>16</v>
      </c>
      <c r="F2" s="5" t="s">
        <v>17</v>
      </c>
      <c r="G2" t="str" s="0">
        <f>"CarlosJacinta"</f>
        <v>CarlosJacinta</v>
      </c>
      <c r="H2" t="s" s="0">
        <v>21</v>
      </c>
      <c r="I2" t="s" s="0">
        <v>19</v>
      </c>
      <c r="J2" t="s" s="0">
        <v>20</v>
      </c>
      <c r="K2" s="6" t="s">
        <v>25</v>
      </c>
      <c r="L2" s="6" t="str">
        <f ca="1">TEXT(TODAY()+1,"mm/dd/yyyy")</f>
        <v>01/10/2026</v>
      </c>
      <c r="M2" s="7">
        <v>10</v>
      </c>
      <c r="N2" s="8">
        <v>2</v>
      </c>
      <c r="O2" s="9"/>
      <c r="P2" s="10" t="str">
        <f>"Individual Convenience Fee Amount:,	
Total Convenience Fees Paid:,	
Total Paid under this plan:"</f>
        <v>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6453A-566F-4243-8B47-2F88A434AC05}">
  <dimension ref="A1:P2"/>
  <sheetViews>
    <sheetView topLeftCell="A2" workbookViewId="0">
      <selection activeCell="G2" sqref="G2"/>
    </sheetView>
  </sheetViews>
  <sheetFormatPr defaultRowHeight="14.5" x14ac:dyDescent="0.35"/>
  <cols>
    <col min="11" max="11" customWidth="true" width="30.5429687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240</v>
      </c>
      <c r="C2" s="4"/>
      <c r="D2" s="5" t="s">
        <v>15</v>
      </c>
      <c r="E2" s="5" t="s">
        <v>16</v>
      </c>
      <c r="F2" s="5" t="s">
        <v>17</v>
      </c>
      <c r="G2" t="str" s="0">
        <f>"Bridges"</f>
        <v>Bridges</v>
      </c>
      <c r="H2" t="s" s="0">
        <v>21</v>
      </c>
      <c r="I2" t="s" s="0">
        <v>19</v>
      </c>
      <c r="J2" t="s" s="0">
        <v>20</v>
      </c>
      <c r="K2" s="6" t="s">
        <v>24</v>
      </c>
      <c r="L2" s="6" t="str">
        <f ca="1">TEXT(TODAY()+1,"mm/dd/yyyy")</f>
        <v>01/10/2026</v>
      </c>
      <c r="M2" s="7">
        <v>10</v>
      </c>
      <c r="N2" s="8">
        <v>2</v>
      </c>
      <c r="O2" s="9"/>
      <c r="P2" s="10" t="str">
        <f>"Individual Convenience Fee Amount:,	
Total Convenience Fees Paid:,	
Total Paid under this plan:"</f>
        <v>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627C4-0639-4F31-B018-C711C491A530}">
  <dimension ref="A1:P2"/>
  <sheetViews>
    <sheetView topLeftCell="A2" workbookViewId="0">
      <selection activeCell="K2" sqref="K2"/>
    </sheetView>
  </sheetViews>
  <sheetFormatPr defaultRowHeight="14.5" x14ac:dyDescent="0.35"/>
  <cols>
    <col min="11" max="11" customWidth="true" width="17.906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264</v>
      </c>
      <c r="C2" s="4"/>
      <c r="D2" s="5" t="s">
        <v>15</v>
      </c>
      <c r="E2" s="5" t="s">
        <v>16</v>
      </c>
      <c r="F2" s="5" t="s">
        <v>17</v>
      </c>
      <c r="G2" t="str" s="0">
        <f>"CarlosJacinta"</f>
        <v>CarlosJacinta</v>
      </c>
      <c r="H2" t="s" s="0">
        <v>22</v>
      </c>
      <c r="I2" t="s" s="0">
        <v>23</v>
      </c>
      <c r="J2" t="s" s="0">
        <v>20</v>
      </c>
      <c r="K2" s="6" t="s">
        <v>28</v>
      </c>
      <c r="L2" s="6" t="str">
        <f ca="1">TEXT(TODAY()+1,"mm/dd/yyyy")</f>
        <v>01/10/2026</v>
      </c>
      <c r="M2" s="7">
        <v>10</v>
      </c>
      <c r="N2" s="8">
        <v>2</v>
      </c>
      <c r="O2" s="9" t="str">
        <f ca="1">K2&amp;TEXT(M2,"0.00")&amp;" on "&amp;L2&amp;","&amp;P2</f>
        <v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First Name:,	CAROLYN,
Last Name:,	LINEBERGER,
Routing Number:,	****4974,
Account Number:,	****7002,
Billing Address:,	7072 MAPLE GLEN DR,
CATAWBA, North Carolina NC 28609,
Country:,	UNITED STATES,
Account Type:,	Personal Savings,
3. Payment Plan Information,
Payment Plan Type:,	Recurring,
Payment Plan Duration:,	Deferred,
Payment Plan Start Date:,	
4. Payment Plan,1 Deferred payment of $10.00 on 01/10/2026,A Convenience Fee will be added to each transaction issued for 1 Deferred payment of 2.00 starting on 01/10/2026 ,Individual Convenience Fee Amount:,	
Total Convenience Fees Paid:,	
Total Paid under this plan:</v>
      </c>
      <c r="P2" s="10" t="str">
        <f ca="1">"A Convenience Fee will be added to each transaction issued for 1 Deferred payment of "&amp;  TEXT(N2,"0.00")&amp;" starting on "&amp;L2&amp;" ,Individual Convenience Fee Amount:,	
Total Convenience Fees Paid:,	
Total Paid under this plan:"</f>
        <v>A Convenience Fee will be added to each transaction issued for 1 Deferred payment of 2.00 starting on 01/10/2026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CCC01-8D91-4DD2-9F92-02AFB7FF39EF}">
  <dimension ref="A1:P2"/>
  <sheetViews>
    <sheetView workbookViewId="0">
      <selection activeCell="K2" sqref="K2"/>
    </sheetView>
  </sheetViews>
  <sheetFormatPr defaultRowHeight="14.5" x14ac:dyDescent="0.35"/>
  <cols>
    <col min="11" max="11" customWidth="true" width="23.816406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258</v>
      </c>
      <c r="C2" s="4"/>
      <c r="D2" s="5" t="s">
        <v>15</v>
      </c>
      <c r="E2" s="5" t="s">
        <v>16</v>
      </c>
      <c r="F2" s="5" t="s">
        <v>17</v>
      </c>
      <c r="G2" t="str" s="0">
        <f>"Carlos"</f>
        <v>Carlos</v>
      </c>
      <c r="H2" t="s" s="0">
        <v>22</v>
      </c>
      <c r="I2" t="s" s="0">
        <v>23</v>
      </c>
      <c r="J2" t="s" s="0">
        <v>20</v>
      </c>
      <c r="K2" s="6" t="s">
        <v>29</v>
      </c>
      <c r="L2" s="6" t="str">
        <f ca="1">TEXT(TODAY()+1,"mm/dd/yyyy")</f>
        <v>01/10/2026</v>
      </c>
      <c r="M2" s="7">
        <v>10</v>
      </c>
      <c r="N2" s="8">
        <v>2</v>
      </c>
      <c r="O2" s="9" t="str">
        <f ca="1">K2&amp;TEXT(M2,"0.00")&amp;" on "&amp;L2&amp;","&amp;P2</f>
        <v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First Name:,	CAROLYN,
Last Name:,	LINEBERGER,
Routing Number:,	****2691,
Account Number:,	****5489,
Billing Address:,	7072 MAPLE GLEN DR,
CATAWBA, North Carolina NC 28609,
Country:,	UNITED STATES,
Account Type:,	Personal Checking,
3. Payment Plan Information,
Payment Plan Type:,	Recurring,
Payment Plan Duration:,	Deferred,
Payment Plan Start Date:,	
4. Payment Plan,1 Deferred payment of $10.00 on 01/10/2026,A Convenience Fee will be added to each transaction issued for 1 Deferred payment of 2.00 starting on 01/10/2026 ,Individual Convenience Fee Amount:,	
Total Convenience Fees Paid:,	
Total Paid under this plan:</v>
      </c>
      <c r="P2" s="10" t="str">
        <f ca="1">"A Convenience Fee will be added to each transaction issued for 1 Deferred payment of "&amp;  TEXT(N2,"0.00")&amp;" starting on "&amp;L2&amp;" ,Individual Convenience Fee Amount:,	
Total Convenience Fees Paid:,	
Total Paid under this plan:"</f>
        <v>A Convenience Fee will be added to each transaction issued for 1 Deferred payment of 2.00 starting on 01/10/2026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15A6F-3592-43D9-BD24-8AE9729D36B7}">
  <dimension ref="A1:P2"/>
  <sheetViews>
    <sheetView tabSelected="1" workbookViewId="0">
      <selection activeCell="I2" sqref="I2"/>
    </sheetView>
  </sheetViews>
  <sheetFormatPr defaultRowHeight="14.5" x14ac:dyDescent="0.35"/>
  <cols>
    <col min="11" max="11" customWidth="true" width="21.816406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251</v>
      </c>
      <c r="C2" s="4"/>
      <c r="D2" s="5" t="s">
        <v>15</v>
      </c>
      <c r="E2" s="5" t="s">
        <v>16</v>
      </c>
      <c r="F2" s="5" t="s">
        <v>17</v>
      </c>
      <c r="G2" t="str" s="0">
        <f>"Smith"</f>
        <v>Smith</v>
      </c>
      <c r="H2" t="s" s="0">
        <v>22</v>
      </c>
      <c r="I2" t="s" s="0">
        <v>23</v>
      </c>
      <c r="J2" t="s" s="0">
        <v>20</v>
      </c>
      <c r="K2" s="6" t="s">
        <v>71</v>
      </c>
      <c r="L2" s="6" t="str">
        <f ca="1">TEXT(TODAY()+1,"mm/dd/yyyy")</f>
        <v>01/10/2026</v>
      </c>
      <c r="M2" s="7">
        <v>10</v>
      </c>
      <c r="N2" s="8">
        <v>2</v>
      </c>
      <c r="O2" s="9" t="str">
        <f ca="1">K2&amp;TEXT(M2,"0.00")&amp;" on "&amp;L2&amp;","&amp;P2</f>
        <v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Company Name:,	Terry Foundation,
First Name:,	CAROLYN,
Last Name:,	LINEBERGER,
Routing Number:,	****4974,
Account Number:,	****8307,
Billing Address:,	7072 MAPLE GLEN DR,
CATAWBA, North Carolina NC 28609
Country:,	UNITED STATES,
Account Type:,	Business Checking,
3. Payment Plan Information,
Payment Plan Type:,	Recurring,
Payment Plan Duration:,	Deferred,
Payment Plan Start Date:,	
4. Payment Plan,1 Deferred payment of $10.00 on 01/10/2026,A Convenience Fee will be added to each transaction issued for 1 Deferred payment of 2.00 starting on 01/10/2026 ,Individual Convenience Fee Amount:,	
Total Convenience Fees Paid:,	
Total Paid under this plan:</v>
      </c>
      <c r="P2" s="10" t="str">
        <f ca="1">"A Convenience Fee will be added to each transaction issued for 1 Deferred payment of "&amp;  TEXT(N2,"0.00")&amp;" starting on "&amp;L2&amp;" ,Individual Convenience Fee Amount:,	
Total Convenience Fees Paid:,	
Total Paid under this plan:"</f>
        <v>A Convenience Fee will be added to each transaction issued for 1 Deferred payment of 2.00 starting on 01/10/2026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2B77E-010E-4115-88A3-B1B1A5BAFCF1}">
  <dimension ref="A1:P2"/>
  <sheetViews>
    <sheetView workbookViewId="0">
      <selection activeCell="K2" sqref="K2"/>
    </sheetView>
  </sheetViews>
  <sheetFormatPr defaultRowHeight="14.5" x14ac:dyDescent="0.35"/>
  <cols>
    <col min="11" max="11" customWidth="true" width="28.5429687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245</v>
      </c>
      <c r="C2" s="4"/>
      <c r="D2" s="5" t="s">
        <v>15</v>
      </c>
      <c r="E2" s="5" t="s">
        <v>16</v>
      </c>
      <c r="F2" s="5" t="s">
        <v>17</v>
      </c>
      <c r="G2" t="str" s="0">
        <f>"Bridges"</f>
        <v>Bridges</v>
      </c>
      <c r="H2" t="s" s="0">
        <v>22</v>
      </c>
      <c r="I2" t="s" s="0">
        <v>23</v>
      </c>
      <c r="J2" t="s" s="0">
        <v>20</v>
      </c>
      <c r="K2" s="6" t="s">
        <v>30</v>
      </c>
      <c r="L2" s="6" t="str">
        <f ca="1">TEXT(TODAY()+1,"mm/dd/yyyy")</f>
        <v>01/10/2026</v>
      </c>
      <c r="M2" s="7">
        <v>10</v>
      </c>
      <c r="N2" s="8">
        <v>2</v>
      </c>
      <c r="O2" s="9" t="str">
        <f ca="1">K2&amp;TEXT(M2,"0.00")&amp;" on "&amp;L2&amp;","&amp;P2</f>
        <v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Name Appearing on Card:,	CAROLYN LINEBERGER,
Card Type:,	Visa,
Card Number:,	41****1111,
Expiration Date:,	09/2035,
Billing Address:,	7072 MAPLE GLEN DR,
CATAWBA, North Carolina NC 28609,
Country:,	UNITED STATES,
3. Payment Plan Information,
Payment Plan Type:,	Recurring,
Payment Plan Duration:,	Deferred,
Payment Plan Start Date:,	
4. Payment Plan,1 Deferred payment of $10.00 on 01/10/2026,A Convenience Fee will be added to each transaction issued for 1 Deferred payment of 2.00 starting on 01/10/2026 ,Individual Convenience Fee Amount:,	
Total Convenience Fees Paid:,	
Total Paid under this plan:</v>
      </c>
      <c r="P2" s="10" t="str">
        <f ca="1">"A Convenience Fee will be added to each transaction issued for 1 Deferred payment of "&amp;  TEXT(N2,"0.00")&amp;" starting on "&amp;L2&amp;" ,Individual Convenience Fee Amount:,	
Total Convenience Fees Paid:,	
Total Paid under this plan:"</f>
        <v>A Convenience Fee will be added to each transaction issued for 1 Deferred payment of 2.00 starting on 01/10/2026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5A2A1-86A0-48D6-8551-F95C124FFD93}">
  <dimension ref="A1:P2"/>
  <sheetViews>
    <sheetView topLeftCell="A2" workbookViewId="0">
      <selection activeCell="N2" sqref="N2"/>
    </sheetView>
  </sheetViews>
  <sheetFormatPr defaultRowHeight="14.5" x14ac:dyDescent="0.35"/>
  <cols>
    <col min="11" max="11" customWidth="true" width="26.0898437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263</v>
      </c>
      <c r="C2" s="4"/>
      <c r="D2" s="5" t="s">
        <v>15</v>
      </c>
      <c r="E2" s="5" t="s">
        <v>16</v>
      </c>
      <c r="F2" s="5" t="s">
        <v>17</v>
      </c>
      <c r="G2" t="str" s="0">
        <f>"CarlosJacinta"</f>
        <v>CarlosJacinta</v>
      </c>
      <c r="H2" t="s" s="0">
        <v>22</v>
      </c>
      <c r="I2" t="s" s="0">
        <v>19</v>
      </c>
      <c r="J2" t="s" s="0">
        <v>20</v>
      </c>
      <c r="K2" s="6" t="s">
        <v>31</v>
      </c>
      <c r="L2" s="6" t="str">
        <f ca="1">TEXT(TODAY()+1,"mm/dd/yyyy")</f>
        <v>01/10/2026</v>
      </c>
      <c r="M2" s="7">
        <v>10</v>
      </c>
      <c r="N2" s="8">
        <v>2</v>
      </c>
      <c r="O2" s="9" t="str">
        <f ca="1">K2&amp;TEXT(M2,"0.00")&amp;" starting on "&amp;L2&amp;","&amp;P2</f>
        <v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First Name:,	CAROLYN,
Last Name:,	LINEBERGER,
Routing Number:,	****4974,
Account Number:,	****7002,
Billing Address:,	7072 MAPLE GLEN DR,
CATAWBA, North Carolina NC 28609,
Country:,	UNITED STATES,
Account Type:,	Personal Savings,
3. Payment Plan Information,
Payment Plan Type:,	Recurring,
Payment Plan Duration:,	Daily,
Payment Plan Start Date:,	
4. Payment Plan, Daily payments of $10.00 starting on 01/10/2026,A Convenience Fee will be added to each transaction issued for Daily payment of 2.00 starting on 01/10/2026 ,Individual Convenience Fee Amount:,	
Total Convenience Fees Paid:,	
Total Paid under this plan:</v>
      </c>
      <c r="P2" s="10" t="str">
        <f ca="1">"A Convenience Fee will be added to each transaction issued for Daily payment of "&amp;  TEXT(N2,"0.00")&amp;" starting on "&amp;L2&amp;" ,Individual Convenience Fee Amount:,	
Total Convenience Fees Paid:,	
Total Paid under this plan:"</f>
        <v>A Convenience Fee will be added to each transaction issued for Daily payment of 2.00 starting on 01/10/2026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333DF-E1A4-40DF-9EB9-E0927AF8848C}">
  <dimension ref="A1:P2"/>
  <sheetViews>
    <sheetView topLeftCell="A2" workbookViewId="0">
      <selection activeCell="G2" sqref="G2"/>
    </sheetView>
  </sheetViews>
  <sheetFormatPr defaultRowHeight="14.5" x14ac:dyDescent="0.35"/>
  <cols>
    <col min="11" max="11" customWidth="true" width="25.72656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257</v>
      </c>
      <c r="C2" s="4"/>
      <c r="D2" s="5" t="s">
        <v>15</v>
      </c>
      <c r="E2" s="5" t="s">
        <v>16</v>
      </c>
      <c r="F2" s="5" t="s">
        <v>17</v>
      </c>
      <c r="G2" t="str" s="0">
        <f>"Carlos"</f>
        <v>Carlos</v>
      </c>
      <c r="H2" t="s" s="0">
        <v>22</v>
      </c>
      <c r="I2" t="s" s="0">
        <v>19</v>
      </c>
      <c r="J2" t="s" s="0">
        <v>20</v>
      </c>
      <c r="K2" s="6" t="s">
        <v>32</v>
      </c>
      <c r="L2" s="6" t="str">
        <f ca="1">TEXT(TODAY()+1,"mm/dd/yyyy")</f>
        <v>01/10/2026</v>
      </c>
      <c r="M2" s="7">
        <v>10</v>
      </c>
      <c r="N2" s="8">
        <v>2</v>
      </c>
      <c r="O2" s="9" t="str">
        <f ca="1">K2&amp;TEXT(M2,"0.00")&amp;" starting on "&amp;L2&amp;","&amp;P2</f>
        <v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First Name:,	CAROLYN,
Last Name:,	LINEBERGER,
Routing Number:,	****2691,
Account Number:,	****5489,
Billing Address:,	7072 MAPLE GLEN DR,
CATAWBA, North Carolina NC 28609,
Country:,	UNITED STATES,
Account Type:,	Personal Checking,
3. Payment Plan Information,
Payment Plan Type:,	Recurring,
Payment Plan Duration:,	Daily,
Payment Plan Start Date:,	
4. Payment Plan, Daily payments of $10.00 starting on 01/10/2026,A Convenience Fee will be added to each transaction issued for Daily payment of 2.00 starting on 01/10/2026 ,Individual Convenience Fee Amount:,	
Total Convenience Fees Paid:,	
Total Paid under this plan:</v>
      </c>
      <c r="P2" s="10" t="str">
        <f ca="1">"A Convenience Fee will be added to each transaction issued for Daily payment of "&amp;  TEXT(N2,"0.00")&amp;" starting on "&amp;L2&amp;" ,Individual Convenience Fee Amount:,	
Total Convenience Fees Paid:,	
Total Paid under this plan:"</f>
        <v>A Convenience Fee will be added to each transaction issued for Daily payment of 2.00 starting on 01/10/2026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13466-8780-4BE7-977B-AE4E7A3ED92C}">
  <dimension ref="A1:P2"/>
  <sheetViews>
    <sheetView topLeftCell="A2" workbookViewId="0">
      <selection activeCell="G2" sqref="G2"/>
    </sheetView>
  </sheetViews>
  <sheetFormatPr defaultRowHeight="14.5" x14ac:dyDescent="0.35"/>
  <cols>
    <col min="11" max="11" customWidth="true" width="30.72656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250</v>
      </c>
      <c r="C2" s="4"/>
      <c r="D2" s="5" t="s">
        <v>15</v>
      </c>
      <c r="E2" s="5" t="s">
        <v>16</v>
      </c>
      <c r="F2" s="5" t="s">
        <v>17</v>
      </c>
      <c r="G2" t="str" s="0">
        <f>"Smith"</f>
        <v>Smith</v>
      </c>
      <c r="H2" t="s" s="0">
        <v>22</v>
      </c>
      <c r="I2" t="s" s="0">
        <v>19</v>
      </c>
      <c r="J2" t="s" s="0">
        <v>20</v>
      </c>
      <c r="K2" s="6" t="s">
        <v>33</v>
      </c>
      <c r="L2" s="6" t="str">
        <f ca="1">TEXT(TODAY()+1,"mm/dd/yyyy")</f>
        <v>01/10/2026</v>
      </c>
      <c r="M2" s="7">
        <v>10</v>
      </c>
      <c r="N2" s="8">
        <v>2</v>
      </c>
      <c r="O2" s="9" t="str">
        <f ca="1">K2&amp;TEXT(M2,"0.00")&amp;" starting on "&amp;L2&amp;","&amp;P2</f>
        <v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Company Name:,	Terry Foundation,
First Name:,	CAROLYN,
Last Name:,	LINEBERGER,
Business Tax ID:,	999999999,
Routing Number:,	****4974,
Account Number:,	****8307,
Billing Address:,	7072 MAPLE GLEN DR,,
CATAWBA, North Carolina NC 28609
Country:,	UNITED STATES,
Account Type:,	Business Checking,
3. Payment Plan Information,
Payment Plan Type:,	Recurring,
Payment Plan Duration:,	Daily,
Payment Plan Start Date:,	
4. Payment Plan, Daily payments of $10.00 starting on 01/10/2026,A Convenience Fee will be added to each transaction issued for Daily payment of 2.00 starting on 01/10/2026 ,Individual Convenience Fee Amount:,	
Total Convenience Fees Paid:,	
Total Paid under this plan:</v>
      </c>
      <c r="P2" s="10" t="str">
        <f ca="1">"A Convenience Fee will be added to each transaction issued for Daily payment of "&amp;  TEXT(N2,"0.00")&amp;" starting on "&amp;L2&amp;" ,Individual Convenience Fee Amount:,	
Total Convenience Fees Paid:,	
Total Paid under this plan:"</f>
        <v>A Convenience Fee will be added to each transaction issued for Daily payment of 2.00 starting on 01/10/2026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BB029-1171-41FA-A648-8FA4436E795E}">
  <dimension ref="A1:P2"/>
  <sheetViews>
    <sheetView topLeftCell="A2" workbookViewId="0">
      <selection activeCell="K2" sqref="K2"/>
    </sheetView>
  </sheetViews>
  <sheetFormatPr defaultRowHeight="14.5" x14ac:dyDescent="0.35"/>
  <cols>
    <col min="11" max="11" customWidth="true" width="34.72656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244</v>
      </c>
      <c r="C2" s="4"/>
      <c r="D2" s="5" t="s">
        <v>15</v>
      </c>
      <c r="E2" s="5" t="s">
        <v>16</v>
      </c>
      <c r="F2" s="5" t="s">
        <v>17</v>
      </c>
      <c r="G2" t="str" s="0">
        <f>"Bridges"</f>
        <v>Bridges</v>
      </c>
      <c r="H2" t="s" s="0">
        <v>22</v>
      </c>
      <c r="I2" t="s" s="0">
        <v>19</v>
      </c>
      <c r="J2" t="s" s="0">
        <v>20</v>
      </c>
      <c r="K2" s="6" t="s">
        <v>34</v>
      </c>
      <c r="L2" s="6" t="str">
        <f ca="1">TEXT(TODAY()+1,"mm/dd/yyyy")</f>
        <v>01/10/2026</v>
      </c>
      <c r="M2" s="7">
        <v>10</v>
      </c>
      <c r="N2" s="8">
        <v>2</v>
      </c>
      <c r="O2" s="9" t="str">
        <f ca="1">K2&amp;TEXT(M2,"0.00")&amp;" starting on "&amp;L2&amp;","&amp;P2</f>
        <v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Name Appearing on Card:,	CAROLYN LINEBERGER,
Card Type:,	Visa,
Card Number:,	41****1111,
Expiration Date:,	09/2035,
Billing Address:,	7072 MAPLE GLEN DR,
CATAWBA, North Carolina NC 28609,
Country:,	UNITED STATES,
3. Payment Plan Information,
Payment Plan Type:,	Recurring,
Payment Plan Duration:,	Daily,
Payment Plan Start Date:,	
4. Payment Plan, Daily payments of $10.00 starting on 01/10/2026,A Convenience Fee will be added to each transaction issued for Daily payment of 2.00 starting on 01/10/2026 ,Individual Convenience Fee Amount:,	
Total Convenience Fees Paid:,	
Total Paid under this plan:</v>
      </c>
      <c r="P2" s="10" t="str">
        <f ca="1">"A Convenience Fee will be added to each transaction issued for Daily payment of "&amp;  TEXT(N2,"0.00")&amp;" starting on "&amp;L2&amp;" ,Individual Convenience Fee Amount:,	
Total Convenience Fees Paid:,	
Total Paid under this plan:"</f>
        <v>A Convenience Fee will be added to each transaction issued for Daily payment of 2.00 starting on 01/10/2026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98C4-EADB-4F49-BACE-22D2E17BA962}">
  <dimension ref="A1:P2"/>
  <sheetViews>
    <sheetView topLeftCell="A2" workbookViewId="0">
      <selection activeCell="K2" sqref="K2"/>
    </sheetView>
  </sheetViews>
  <sheetFormatPr defaultRowHeight="14.5" x14ac:dyDescent="0.35"/>
  <cols>
    <col min="11" max="11" customWidth="true" width="24.7265625" collapsed="true"/>
    <col min="15" max="15" customWidth="true" width="15.7265625" collapsed="true"/>
    <col min="16" max="16" customWidth="true" width="17.1796875" collapsed="true"/>
  </cols>
  <sheetData>
    <row ht="29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262</v>
      </c>
      <c r="C2" s="4"/>
      <c r="D2" s="5" t="s">
        <v>15</v>
      </c>
      <c r="E2" s="5" t="s">
        <v>16</v>
      </c>
      <c r="F2" s="5" t="s">
        <v>17</v>
      </c>
      <c r="G2" t="str" s="0">
        <f>"CarlosJacinta"</f>
        <v>CarlosJacinta</v>
      </c>
      <c r="H2" t="s" s="0">
        <v>18</v>
      </c>
      <c r="I2" t="s" s="0">
        <v>23</v>
      </c>
      <c r="J2" t="s" s="0">
        <v>20</v>
      </c>
      <c r="K2" s="6" t="s">
        <v>35</v>
      </c>
      <c r="L2" s="6" t="str">
        <f ca="1">TEXT(TODAY()+1,"mm/dd/yyyy")</f>
        <v>01/10/2026</v>
      </c>
      <c r="M2" s="7">
        <v>10</v>
      </c>
      <c r="N2" s="8">
        <v>2</v>
      </c>
      <c r="O2" s="9" t="str">
        <f ca="1">K2&amp;TEXT(M2,"0.00")&amp;" on "&amp;L2&amp;","&amp;P2</f>
        <v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First Name:,	CAROLYN,
Last Name:,	LINEBERGER,
Routing Number:,	****4974,
Account Number:,	****7002,
Billing Address:,	7072 MAPLE GLEN DR,
CATAWBA, North Carolina NC 28609,
Country:,	UNITED STATES,
Account Type:,	Personal Savings,
3. Payment Plan Information,
Payment Plan Type:,	Installment Plan,
Payment Plan Duration:,	Deferred,
Payment Plan Start Date:,	
4. Payment Plan,1 Deferred payment of $10.00 on 01/10/2026,A Convenience Fee will be added to each transaction issued for 1 Deferred payment of 2.00 starting on 01/10/2026 ,Individual Convenience Fee Amount:,	
Total Convenience Fees Paid:,	
Total Paid under this plan:</v>
      </c>
      <c r="P2" s="10" t="str">
        <f ca="1">"A Convenience Fee will be added to each transaction issued for 1 Deferred payment of "&amp;  TEXT(N2,"0.00")&amp;" starting on "&amp;L2&amp;" ,Individual Convenience Fee Amount:,	
Total Convenience Fees Paid:,	
Total Paid under this plan:"</f>
        <v>A Convenience Fee will be added to each transaction issued for 1 Deferred payment of 2.00 starting on 01/10/2026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72D8C-277B-4875-8E77-2139760B0ECA}">
  <dimension ref="A1:P2"/>
  <sheetViews>
    <sheetView topLeftCell="A2" workbookViewId="0">
      <selection activeCell="K2" sqref="K2"/>
    </sheetView>
  </sheetViews>
  <sheetFormatPr defaultRowHeight="14.5" x14ac:dyDescent="0.35"/>
  <cols>
    <col min="11" max="11" customWidth="true" width="24.269531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256</v>
      </c>
      <c r="C2" s="4"/>
      <c r="D2" s="5" t="s">
        <v>15</v>
      </c>
      <c r="E2" s="5" t="s">
        <v>16</v>
      </c>
      <c r="F2" s="5" t="s">
        <v>17</v>
      </c>
      <c r="G2" t="str" s="0">
        <f>"Carlos"</f>
        <v>Carlos</v>
      </c>
      <c r="H2" t="s" s="0">
        <v>18</v>
      </c>
      <c r="I2" t="s" s="0">
        <v>23</v>
      </c>
      <c r="J2" t="s" s="0">
        <v>20</v>
      </c>
      <c r="K2" s="6" t="s">
        <v>38</v>
      </c>
      <c r="L2" s="6" t="str">
        <f ca="1">TEXT(TODAY()+1,"mm/dd/yyyy")</f>
        <v>01/10/2026</v>
      </c>
      <c r="M2" s="7">
        <v>10</v>
      </c>
      <c r="N2" s="8">
        <v>2</v>
      </c>
      <c r="O2" s="9" t="str">
        <f ca="1">K2&amp;TEXT(M2,"0.00")&amp;" on "&amp;L2&amp;","&amp;P2</f>
        <v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First Name:,	CAROLYN,
Last Name:,	LINEBERGER,
Routing Number:,	****2691,
Account Number:,	****5489,
Billing Address:,	7072 MAPLE GLEN DR,
CATAWBA, North Carolina NC 28609,
Country:,	UNITED STATES,
Account Type:,	Personal Checking,
3. Payment Plan Information,
Payment Plan Type:,	Installment Plan,
Payment Plan Duration:,	Deferred,
Payment Plan Start Date:,	
4. Payment Plan,1 Deferred payment of $10.00 on 01/10/2026,A Convenience Fee will be added to each transaction issued for 1 Deferred payment of 2.00 starting on 01/10/2026 ,Individual Convenience Fee Amount:,	
Total Convenience Fees Paid:,	
Total Paid under this plan:</v>
      </c>
      <c r="P2" s="10" t="str">
        <f ca="1">"A Convenience Fee will be added to each transaction issued for 1 Deferred payment of "&amp;  TEXT(N2,"0.00")&amp;" starting on "&amp;L2&amp;" ,Individual Convenience Fee Amount:,	
Total Convenience Fees Paid:,	
Total Paid under this plan:"</f>
        <v>A Convenience Fee will be added to each transaction issued for 1 Deferred payment of 2.00 starting on 01/10/2026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C6F33-051D-49DA-A956-296219E0BF32}">
  <dimension ref="A1:P2"/>
  <sheetViews>
    <sheetView topLeftCell="A2" workbookViewId="0">
      <selection activeCell="K2" sqref="K2"/>
    </sheetView>
  </sheetViews>
  <sheetFormatPr defaultRowHeight="14.5" x14ac:dyDescent="0.35"/>
  <cols>
    <col min="11" max="11" customWidth="true" width="23.72656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243</v>
      </c>
      <c r="C2" s="4"/>
      <c r="D2" s="5" t="s">
        <v>15</v>
      </c>
      <c r="E2" s="5" t="s">
        <v>16</v>
      </c>
      <c r="F2" s="5" t="s">
        <v>17</v>
      </c>
      <c r="G2" t="str" s="0">
        <f>"Bridges"</f>
        <v>Bridges</v>
      </c>
      <c r="H2" t="s" s="0">
        <v>18</v>
      </c>
      <c r="I2" t="s" s="0">
        <v>23</v>
      </c>
      <c r="J2" t="s" s="0">
        <v>20</v>
      </c>
      <c r="K2" s="6" t="s">
        <v>36</v>
      </c>
      <c r="L2" s="6" t="str">
        <f ca="1">TEXT(TODAY()+1,"mm/dd/yyyy")</f>
        <v>01/10/2026</v>
      </c>
      <c r="M2" s="7">
        <v>10</v>
      </c>
      <c r="N2" s="8">
        <v>2</v>
      </c>
      <c r="O2" s="9" t="str">
        <f ca="1">K2&amp;TEXT(M2,"0.00")&amp;" on "&amp;L2&amp;","&amp;P2</f>
        <v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Name Appearing on Card:,	CAROLYN LINEBERGER,
Card Type:,	Visa,
Card Number:,	41****1111,
Expiration Date:,	09/2035,
Billing Address:,	7072 MAPLE GLEN DR,
CATAWBA, North Carolina NC 28609,
Country:,	UNITED STATES,
3. Payment Plan Information,
Payment Plan Type:,	Installment Plan,
Payment Plan Duration:,	Deferred,
Payment Plan Start Date:,	
4. Payment Plan,1 Deferred payment of $10.00 on 01/10/2026,A Convenience Fee will be added to each transaction issued for 1 Deferred payment of 2.00 starting on 01/10/2026 ,Individual Convenience Fee Amount:,	
Total Convenience Fees Paid:,	
Total Paid under this plan:</v>
      </c>
      <c r="P2" s="10" t="str">
        <f ca="1">"A Convenience Fee will be added to each transaction issued for 1 Deferred payment of "&amp;  TEXT(N2,"0.00")&amp;" starting on "&amp;L2&amp;" ,Individual Convenience Fee Amount:,	
Total Convenience Fees Paid:,	
Total Paid under this plan:"</f>
        <v>A Convenience Fee will be added to each transaction issued for 1 Deferred payment of 2.00 starting on 01/10/2026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06A84-4AB3-491D-9D66-F6130A959AD3}">
  <dimension ref="A1:P2"/>
  <sheetViews>
    <sheetView topLeftCell="A2" workbookViewId="0">
      <selection activeCell="L2" sqref="L2"/>
    </sheetView>
  </sheetViews>
  <sheetFormatPr defaultRowHeight="14.5" x14ac:dyDescent="0.35"/>
  <cols>
    <col min="11" max="11" customWidth="true" width="25.816406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249</v>
      </c>
      <c r="C2" s="4"/>
      <c r="D2" s="5" t="s">
        <v>15</v>
      </c>
      <c r="E2" s="5" t="s">
        <v>16</v>
      </c>
      <c r="F2" s="5" t="s">
        <v>17</v>
      </c>
      <c r="G2" t="str" s="0">
        <f>"Smith"</f>
        <v>Smith</v>
      </c>
      <c r="H2" t="s" s="0">
        <v>18</v>
      </c>
      <c r="I2" t="s" s="0">
        <v>23</v>
      </c>
      <c r="J2" t="s" s="0">
        <v>20</v>
      </c>
      <c r="K2" s="6" t="s">
        <v>37</v>
      </c>
      <c r="L2" s="6" t="str">
        <f ca="1">TEXT(TODAY()+1,"mm/dd/yyyy")</f>
        <v>01/10/2026</v>
      </c>
      <c r="M2" s="7">
        <v>10</v>
      </c>
      <c r="N2" s="8">
        <v>2</v>
      </c>
      <c r="O2" s="9" t="str">
        <f ca="1">K2&amp;TEXT(M2,"0.00")&amp;" on "&amp;L2&amp;","&amp;P2</f>
        <v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Company Name:,	Terry Foundation,
First Name:,	CAROLYN,
Last Name:,	LINEBERGER,
Business Tax ID:,	999999999,
Routing Number:,	****4974,
Account Number:,	****8307,
Billing Address:,	7072 MAPLE GLEN DR,,
CATAWBA, North Carolina NC 28609
Country:,	UNITED STATES,
Account Type:,	Business Checking,
3. Payment Plan Information,
Payment Plan Type:,	Installment Plan,
Payment Plan Duration:,	Deferred,
Payment Plan Start Date:,	
4. Payment Plan,1 Deferred payment of $10.00 on 01/10/2026,A Convenience Fee will be added to each transaction issued for 1 Deferred payment of 2.00 starting on 01/10/2026 ,Individual Convenience Fee Amount:,	
Total Convenience Fees Paid:,	
Total Paid under this plan:</v>
      </c>
      <c r="P2" s="10" t="str">
        <f ca="1">"A Convenience Fee will be added to each transaction issued for 1 Deferred payment of "&amp;  TEXT(N2,"0.00")&amp;" starting on "&amp;L2&amp;" ,Individual Convenience Fee Amount:,	
Total Convenience Fees Paid:,	
Total Paid under this plan:"</f>
        <v>A Convenience Fee will be added to each transaction issued for 1 Deferred payment of 2.00 starting on 01/10/2026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F609E-8671-42DF-A52E-E0D9BD0CD203}">
  <dimension ref="A1:P2"/>
  <sheetViews>
    <sheetView topLeftCell="A2" workbookViewId="0">
      <selection activeCell="K2" sqref="K2"/>
    </sheetView>
  </sheetViews>
  <sheetFormatPr defaultRowHeight="14.5" x14ac:dyDescent="0.35"/>
  <cols>
    <col min="11" max="11" customWidth="true" width="24.0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260</v>
      </c>
      <c r="C2" s="4"/>
      <c r="D2" s="5" t="s">
        <v>15</v>
      </c>
      <c r="E2" s="5" t="s">
        <v>16</v>
      </c>
      <c r="F2" s="5" t="s">
        <v>17</v>
      </c>
      <c r="G2" t="str" s="0">
        <f>"CarlosJacinta"</f>
        <v>CarlosJacinta</v>
      </c>
      <c r="H2" t="s" s="0">
        <v>18</v>
      </c>
      <c r="I2" t="s" s="0">
        <v>19</v>
      </c>
      <c r="J2" t="s" s="0">
        <v>39</v>
      </c>
      <c r="K2" s="6" t="s">
        <v>42</v>
      </c>
      <c r="L2" s="6" t="str">
        <f ca="1">TEXT(TODAY()+1,"mm/dd/yyyy")</f>
        <v>01/10/2026</v>
      </c>
      <c r="M2" s="7">
        <v>10</v>
      </c>
      <c r="N2" s="8">
        <v>2</v>
      </c>
      <c r="O2" s="9" t="str">
        <f ca="1">K2&amp;TEXT(M2,"0.00")&amp;" on "&amp;L2&amp;","&amp;P2</f>
        <v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First Name:,	CAROLYN,
Last Name:,	LINEBERGER,
Routing Number:,	****4974,
Account Number:,	****7002,
Billing Address:,	7072 MAPLE GLEN DR,
CATAWBA, North Carolina NC 28609,
Country:,	UNITED STATES,
Account Type:,	Personal Savings,
3. Payment Plan Information,
Payment Plan Type:,	Installment Plan,
Payment Plan Duration:,	Daily,
Payment Plan Start Date:,	
4. Payment Plan,1 Daily payment of $10.00 on 01/10/2026,A Convenience Fee will be added to each transaction issued for 1 Daily payment of 2.00 starting on 01/10/2026 ,Individual Convenience Fee Amount:,	
Total Convenience Fees Paid:,	
Total Paid under this plan:</v>
      </c>
      <c r="P2" s="10" t="str">
        <f ca="1">"A Convenience Fee will be added to each transaction issued for 1 Daily payment of "&amp;  TEXT(N2,"0.00")&amp;" starting on "&amp;L2&amp;" ,Individual Convenience Fee Amount:,	
Total Convenience Fees Paid:,	
Total Paid under this plan:"</f>
        <v>A Convenience Fee will be added to each transaction issued for 1 Daily payment of 2.00 starting on 01/10/2026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00924-F2FB-45A8-BED7-C929CC9ED1B0}">
  <dimension ref="A1:P2"/>
  <sheetViews>
    <sheetView topLeftCell="A2" workbookViewId="0">
      <selection activeCell="K2" sqref="K2"/>
    </sheetView>
  </sheetViews>
  <sheetFormatPr defaultRowHeight="14.5" x14ac:dyDescent="0.35"/>
  <cols>
    <col min="11" max="11" customWidth="true" width="23.0898437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254</v>
      </c>
      <c r="C2" s="4"/>
      <c r="D2" s="5" t="s">
        <v>15</v>
      </c>
      <c r="E2" s="5" t="s">
        <v>16</v>
      </c>
      <c r="F2" s="5" t="s">
        <v>17</v>
      </c>
      <c r="G2" t="str" s="0">
        <f>"Carlos"</f>
        <v>Carlos</v>
      </c>
      <c r="H2" t="s" s="0">
        <v>18</v>
      </c>
      <c r="I2" t="s" s="0">
        <v>19</v>
      </c>
      <c r="J2" t="s" s="0">
        <v>39</v>
      </c>
      <c r="K2" s="6" t="s">
        <v>43</v>
      </c>
      <c r="L2" s="6" t="str">
        <f ca="1">TEXT(TODAY()+1,"mm/dd/yyyy")</f>
        <v>01/10/2026</v>
      </c>
      <c r="M2" s="7">
        <v>10</v>
      </c>
      <c r="N2" s="8">
        <v>2</v>
      </c>
      <c r="O2" s="9" t="str">
        <f ca="1">K2&amp;TEXT(M2,"0.00")&amp;" on "&amp;L2&amp;","&amp;P2</f>
        <v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First Name:,	CAROLYN,
Last Name:,	LINEBERGER,
Routing Number:,	****2691,
Account Number:,	****5489,
Billing Address:,	7072 MAPLE GLEN DR,
CATAWBA, North Carolina NC 28609,
Country:,	UNITED STATES,
Account Type:,	Personal Checking,
3. Payment Plan Information,
Payment Plan Type:,	Installment Plan,
Payment Plan Duration:,	Daily,
Payment Plan Start Date:,	
4. Payment Plan,1 Daily payment of $10.00 on 01/10/2026,A Convenience Fee will be added to each transaction issued for 1 Daily payment of 2.00 starting on 01/10/2026 ,Individual Convenience Fee Amount:,	
Total Convenience Fees Paid:,	
Total Paid under this plan:</v>
      </c>
      <c r="P2" s="10" t="str">
        <f ca="1">"A Convenience Fee will be added to each transaction issued for 1 Daily payment of "&amp;  TEXT(N2,"0.00")&amp;" starting on "&amp;L2&amp;" ,Individual Convenience Fee Amount:,	
Total Convenience Fees Paid:,	
Total Paid under this plan:"</f>
        <v>A Convenience Fee will be added to each transaction issued for 1 Daily payment of 2.00 starting on 01/10/2026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82DF2-9DD6-4023-94DD-D03DA9278EDA}">
  <dimension ref="A1:P2"/>
  <sheetViews>
    <sheetView topLeftCell="A2" workbookViewId="0">
      <selection activeCell="K2" sqref="K2"/>
    </sheetView>
  </sheetViews>
  <sheetFormatPr defaultRowHeight="14.5" x14ac:dyDescent="0.35"/>
  <cols>
    <col min="11" max="11" customWidth="true" width="21.816406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241</v>
      </c>
      <c r="C2" s="4"/>
      <c r="D2" s="5" t="s">
        <v>15</v>
      </c>
      <c r="E2" s="5" t="s">
        <v>16</v>
      </c>
      <c r="F2" s="5" t="s">
        <v>17</v>
      </c>
      <c r="G2" t="str" s="0">
        <f>"Bridges"</f>
        <v>Bridges</v>
      </c>
      <c r="H2" t="s" s="0">
        <v>18</v>
      </c>
      <c r="I2" t="s" s="0">
        <v>19</v>
      </c>
      <c r="J2" t="s" s="0">
        <v>39</v>
      </c>
      <c r="K2" s="6" t="s">
        <v>41</v>
      </c>
      <c r="L2" s="6" t="str">
        <f ca="1">TEXT(TODAY()+1,"mm/dd/yyyy")</f>
        <v>01/10/2026</v>
      </c>
      <c r="M2" s="7">
        <v>10</v>
      </c>
      <c r="N2" s="8">
        <v>2</v>
      </c>
      <c r="O2" s="9" t="str">
        <f ca="1">K2&amp;TEXT(M2,"0.00")&amp;" on "&amp;L2&amp;","&amp;P2</f>
        <v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Name Appearing on Card:,	CAROLYN LINEBERGER,
Card Type:,	Visa,
Card Number:,	41****1111,
Expiration Date:,	09/2035,
Billing Address:,	7072 MAPLE GLEN DR,
CATAWBA, North Carolina NC 28609,
Country:,	UNITED STATES,
3. Payment Plan Information,
Payment Plan Type:,	Installment Plan,
Payment Plan Duration:,	Daily,
Payment Plan Start Date:,	
4. Payment Plan,1 Daily payment of $10.00 on 01/10/2026,A Convenience Fee will be added to each transaction issued for 1 Daily payment of 2.00 starting on 01/10/2026 ,Individual Convenience Fee Amount:,	
Total Convenience Fees Paid:,	
Total Paid under this plan:</v>
      </c>
      <c r="P2" s="10" t="str">
        <f ca="1">"A Convenience Fee will be added to each transaction issued for 1 Daily payment of "&amp;  TEXT(N2,"0.00")&amp;" starting on "&amp;L2&amp;" ,Individual Convenience Fee Amount:,	
Total Convenience Fees Paid:,	
Total Paid under this plan:"</f>
        <v>A Convenience Fee will be added to each transaction issued for 1 Daily payment of 2.00 starting on 01/10/2026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E1098-DCCB-4F87-87C7-D2AB1CA20D07}">
  <dimension ref="A1:P2"/>
  <sheetViews>
    <sheetView workbookViewId="0">
      <selection activeCell="J2" sqref="J2"/>
    </sheetView>
  </sheetViews>
  <sheetFormatPr defaultRowHeight="14.5" x14ac:dyDescent="0.35"/>
  <cols>
    <col min="11" max="11" customWidth="true" width="20.363281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247</v>
      </c>
      <c r="C2" s="4"/>
      <c r="D2" s="5" t="s">
        <v>15</v>
      </c>
      <c r="E2" s="5" t="s">
        <v>16</v>
      </c>
      <c r="F2" s="5" t="s">
        <v>17</v>
      </c>
      <c r="G2" t="str" s="0">
        <f>"Smith"</f>
        <v>Smith</v>
      </c>
      <c r="H2" t="s" s="0">
        <v>18</v>
      </c>
      <c r="I2" t="s" s="0">
        <v>19</v>
      </c>
      <c r="J2" t="s" s="0">
        <v>39</v>
      </c>
      <c r="K2" s="6" t="s">
        <v>40</v>
      </c>
      <c r="L2" s="6" t="str">
        <f ca="1">TEXT(TODAY()+1,"mm/dd/yyyy")</f>
        <v>01/10/2026</v>
      </c>
      <c r="M2" s="7">
        <v>10</v>
      </c>
      <c r="N2" s="8">
        <v>2</v>
      </c>
      <c r="O2" s="9" t="str">
        <f ca="1">K2&amp;TEXT(M2,"0.00")&amp;" on "&amp;L2&amp;","&amp;P2</f>
        <v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Company Name:,	Terry Foundation,
First Name:,	CAROLYN,
Last Name:,	LINEBERGER,
Business Tax ID:,	999999999,
Routing Number:,	****4974,
Account Number:,	****8307,
Billing Address:,	7072 MAPLE GLEN DR,,
CATAWBA, North Carolina NC 28609
Country:,	UNITED STATES,
Account Type:,	Business Checking,
3. Payment Plan Information,
Payment Plan Type:,	Installment Plan,
Payment Plan Duration:,	Daily,
Payment Plan Start Date:,	
4. Payment Plan,1 Daily payment of $10.00 on 01/10/2026,A Convenience Fee will be added to each transaction issued for 1 Daily payment of 2.00 starting on 01/10/2026 ,Individual Convenience Fee Amount:,	
Total Convenience Fees Paid:,	
Total Paid under this plan:</v>
      </c>
      <c r="P2" s="10" t="str">
        <f ca="1">"A Convenience Fee will be added to each transaction issued for 1 Daily payment of "&amp;  TEXT(N2,"0.00")&amp;" starting on "&amp;L2&amp;" ,Individual Convenience Fee Amount:,	
Total Convenience Fees Paid:,	
Total Paid under this plan:"</f>
        <v>A Convenience Fee will be added to each transaction issued for 1 Daily payment of 2.00 starting on 01/10/2026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C6D03-D5E5-4638-94D0-65ECE68C7A9E}">
  <dimension ref="A1:P2"/>
  <sheetViews>
    <sheetView topLeftCell="A2" workbookViewId="0">
      <selection activeCell="K2" sqref="K2"/>
    </sheetView>
  </sheetViews>
  <sheetFormatPr defaultRowHeight="14.5" x14ac:dyDescent="0.35"/>
  <cols>
    <col min="11" max="11" customWidth="true" width="27.0898437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242</v>
      </c>
      <c r="C2" s="4"/>
      <c r="D2" s="5" t="s">
        <v>15</v>
      </c>
      <c r="E2" s="5" t="s">
        <v>16</v>
      </c>
      <c r="F2" s="5" t="s">
        <v>17</v>
      </c>
      <c r="G2" t="str" s="0">
        <f>"Bridges"</f>
        <v>Bridges</v>
      </c>
      <c r="H2" t="s" s="0">
        <v>18</v>
      </c>
      <c r="I2" t="s" s="0">
        <v>19</v>
      </c>
      <c r="J2" t="s" s="0">
        <v>20</v>
      </c>
      <c r="K2" s="6" t="s">
        <v>41</v>
      </c>
      <c r="L2" s="6" t="str">
        <f ca="1">TEXT(TODAY()+1,"mm/dd/yyyy")</f>
        <v>01/10/2026</v>
      </c>
      <c r="M2" s="7">
        <v>10</v>
      </c>
      <c r="N2" s="8">
        <v>2</v>
      </c>
      <c r="O2" s="9" t="str">
        <f ca="1">K2&amp;TEXT(M2,"0.00")&amp;" on "&amp;L2&amp;","&amp;P2</f>
        <v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Name Appearing on Card:,	CAROLYN LINEBERGER,
Card Type:,	Visa,
Card Number:,	41****1111,
Expiration Date:,	09/2035,
Billing Address:,	7072 MAPLE GLEN DR,
CATAWBA, North Carolina NC 28609,
Country:,	UNITED STATES,
3. Payment Plan Information,
Payment Plan Type:,	Installment Plan,
Payment Plan Duration:,	Daily,
Payment Plan Start Date:,	
4. Payment Plan,1 Daily payment of $10.00 on 01/10/2026,A Convenience Fee will be added to each transaction issued for 1 Daily payment of 2.00 starting on 01/10/2026 ,Individual Convenience Fee Amount:,	
Total Convenience Fees Paid:,	
Total Paid under this plan:</v>
      </c>
      <c r="P2" s="10" t="str">
        <f ca="1">"A Convenience Fee will be added to each transaction issued for 1 Daily payment of "&amp;  TEXT(N2,"0.00")&amp;" starting on "&amp;L2&amp;" ,Individual Convenience Fee Amount:,	
Total Convenience Fees Paid:,	
Total Paid under this plan:"</f>
        <v>A Convenience Fee will be added to each transaction issued for 1 Daily payment of 2.00 starting on 01/10/2026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E6D05-9B7E-4C82-8712-7C58E6433EF7}">
  <dimension ref="A1:P2"/>
  <sheetViews>
    <sheetView workbookViewId="0">
      <selection activeCell="J2" sqref="J2"/>
    </sheetView>
  </sheetViews>
  <sheetFormatPr defaultRowHeight="14.5" x14ac:dyDescent="0.35"/>
  <cols>
    <col min="11" max="11" customWidth="true" width="29.0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255</v>
      </c>
      <c r="C2" s="4"/>
      <c r="D2" s="5" t="s">
        <v>15</v>
      </c>
      <c r="E2" s="5" t="s">
        <v>16</v>
      </c>
      <c r="F2" s="5" t="s">
        <v>17</v>
      </c>
      <c r="G2" t="str" s="0">
        <f>"Carlos"</f>
        <v>Carlos</v>
      </c>
      <c r="H2" t="s" s="0">
        <v>18</v>
      </c>
      <c r="I2" t="s" s="0">
        <v>19</v>
      </c>
      <c r="J2" t="s" s="0">
        <v>20</v>
      </c>
      <c r="K2" s="6" t="s">
        <v>43</v>
      </c>
      <c r="L2" s="6" t="str">
        <f ca="1">TEXT(TODAY()+1,"mm/dd/yyyy")</f>
        <v>01/10/2026</v>
      </c>
      <c r="M2" s="7">
        <v>10</v>
      </c>
      <c r="N2" s="8">
        <v>2</v>
      </c>
      <c r="O2" s="9" t="str">
        <f ca="1">K2&amp;TEXT(M2,"0.00")&amp;" on "&amp;L2&amp;","&amp;P2</f>
        <v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First Name:,	CAROLYN,
Last Name:,	LINEBERGER,
Routing Number:,	****2691,
Account Number:,	****5489,
Billing Address:,	7072 MAPLE GLEN DR,
CATAWBA, North Carolina NC 28609,
Country:,	UNITED STATES,
Account Type:,	Personal Checking,
3. Payment Plan Information,
Payment Plan Type:,	Installment Plan,
Payment Plan Duration:,	Daily,
Payment Plan Start Date:,	
4. Payment Plan,1 Daily payment of $10.00 on 01/10/2026,A Convenience Fee will be added to each transaction issued for 1 Daily payment of 2.00 starting on 01/10/2026 ,Individual Convenience Fee Amount:,	
Total Convenience Fees Paid:,	
Total Paid under this plan:</v>
      </c>
      <c r="P2" s="10" t="str">
        <f ca="1">"A Convenience Fee will be added to each transaction issued for 1 Daily payment of "&amp;  TEXT(N2,"0.00")&amp;" starting on "&amp;L2&amp;" ,Individual Convenience Fee Amount:,	
Total Convenience Fees Paid:,	
Total Paid under this plan:"</f>
        <v>A Convenience Fee will be added to each transaction issued for 1 Daily payment of 2.00 starting on 01/10/2026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C360F-0C63-4638-A4B3-246CDDD4C83D}">
  <dimension ref="A1:P2"/>
  <sheetViews>
    <sheetView topLeftCell="A2" workbookViewId="0">
      <selection activeCell="K2" sqref="K2"/>
    </sheetView>
  </sheetViews>
  <sheetFormatPr defaultRowHeight="14.5" x14ac:dyDescent="0.35"/>
  <cols>
    <col min="11" max="11" customWidth="true" width="29.906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261</v>
      </c>
      <c r="C2" s="4"/>
      <c r="D2" s="5" t="s">
        <v>15</v>
      </c>
      <c r="E2" s="5" t="s">
        <v>16</v>
      </c>
      <c r="F2" s="5" t="s">
        <v>17</v>
      </c>
      <c r="G2" t="str" s="0">
        <f>"CarlosJacinta"</f>
        <v>CarlosJacinta</v>
      </c>
      <c r="H2" t="s" s="0">
        <v>18</v>
      </c>
      <c r="I2" t="s" s="0">
        <v>19</v>
      </c>
      <c r="J2" t="s" s="0">
        <v>20</v>
      </c>
      <c r="K2" s="6" t="s">
        <v>42</v>
      </c>
      <c r="L2" s="6" t="str">
        <f ca="1">TEXT(TODAY()+1,"mm/dd/yyyy")</f>
        <v>01/10/2026</v>
      </c>
      <c r="M2" s="7">
        <v>10</v>
      </c>
      <c r="N2" s="8">
        <v>2</v>
      </c>
      <c r="O2" s="9" t="str">
        <f ca="1">K2&amp;TEXT(M2,"0.00")&amp;" on "&amp;L2&amp;","&amp;P2</f>
        <v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First Name:,	CAROLYN,
Last Name:,	LINEBERGER,
Routing Number:,	****4974,
Account Number:,	****7002,
Billing Address:,	7072 MAPLE GLEN DR,
CATAWBA, North Carolina NC 28609,
Country:,	UNITED STATES,
Account Type:,	Personal Savings,
3. Payment Plan Information,
Payment Plan Type:,	Installment Plan,
Payment Plan Duration:,	Daily,
Payment Plan Start Date:,	
4. Payment Plan,1 Daily payment of $10.00 on 01/10/2026,A Convenience Fee will be added to each transaction issued for 1 Daily payment of 2.00 starting on 01/10/2026 ,Individual Convenience Fee Amount:,	
Total Convenience Fees Paid:,	
Total Paid under this plan:</v>
      </c>
      <c r="P2" s="10" t="str">
        <f ca="1">"A Convenience Fee will be added to each transaction issued for 1 Daily payment of "&amp;  TEXT(N2,"0.00")&amp;" starting on "&amp;L2&amp;" ,Individual Convenience Fee Amount:,	
Total Convenience Fees Paid:,	
Total Paid under this plan:"</f>
        <v>A Convenience Fee will be added to each transaction issued for 1 Daily payment of 2.00 starting on 01/10/2026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AE7D8-8383-49E4-B847-6D1C69A1CC13}">
  <dimension ref="A1:P2"/>
  <sheetViews>
    <sheetView topLeftCell="A2" workbookViewId="0">
      <selection activeCell="K2" sqref="K2"/>
    </sheetView>
  </sheetViews>
  <sheetFormatPr defaultRowHeight="14.5" x14ac:dyDescent="0.35"/>
  <cols>
    <col min="11" max="11" customWidth="true" width="27.179687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252</v>
      </c>
      <c r="C2" s="4"/>
      <c r="D2" s="5" t="s">
        <v>15</v>
      </c>
      <c r="E2" s="5" t="s">
        <v>16</v>
      </c>
      <c r="F2" s="5" t="s">
        <v>17</v>
      </c>
      <c r="G2" t="str" s="0">
        <f>"Smith"</f>
        <v>Smith</v>
      </c>
      <c r="H2" t="s" s="0">
        <v>22</v>
      </c>
      <c r="I2" t="s" s="0">
        <v>44</v>
      </c>
      <c r="J2" t="s" s="0">
        <v>20</v>
      </c>
      <c r="K2" s="6" t="s">
        <v>45</v>
      </c>
      <c r="L2" s="6" t="str">
        <f ca="1">TEXT(TODAY()+1,"mm/dd/yyyy")</f>
        <v>01/10/2026</v>
      </c>
      <c r="M2" s="7">
        <v>10</v>
      </c>
      <c r="N2" s="8">
        <v>2</v>
      </c>
      <c r="O2" s="9" t="str">
        <f ca="1">K2&amp;TEXT(M2,"0.00")&amp;" starting on "&amp;L2&amp;","&amp;P2</f>
        <v>Scheduled Payment--View the Information,
180RemittanceID: 917-152027,
1. Review bill to pay,
Bills Label,	Due Date,	Date Submitted,	Date Modified,	Amount Due,	Amount to Pay,
ImtiazABPsingleCFBills,	 EST, 	
UDF1:,	udf data 1,
UDF2:,	udf data 2,
UDF3:,	udf3,
UDF4:,	udf data4,
2. Payment Method,
Company Name:,Terry Foundation,
First Name:,	CAROLYN,
Last Name:,	LINEBERGER,
Business Tax ID:,999999999,
Routing Number:,****4974,
Account Number:,****8307,
Billing Address:,7072 MAPLE GLEN DR,
CATAWBA, North Carolina NC 28609,
Country:,UNITED STATES,
Account Type:,Business Checking,
3. Payment Plan Information,
Payment Plan Type:,	Recurring,
Payment Plan Duration:,	Monthly,
Payment Plan Start Date:,	
4. Payment Plan,Monthly payments of $10.00 starting on 01/10/2026,A Convenience Fee will be added to each transaction issued for Monthly payment of 2.00 starting on 01/10/2026 ,Individual Convenience Fee Amount:,	
Total Convenience Fees Paid:,	
Total Paid under this plan:</v>
      </c>
      <c r="P2" s="10" t="str">
        <f ca="1">"A Convenience Fee will be added to each transaction issued for Monthly payment of "&amp;  TEXT(N2,"0.00")&amp;" starting on "&amp;L2&amp;" ,Individual Convenience Fee Amount:,	
Total Convenience Fees Paid:,	
Total Paid under this plan:"</f>
        <v>A Convenience Fee will be added to each transaction issued for Monthly payment of 2.00 starting on 01/10/2026 ,Individual Convenience Fee Amount:,	
Total Convenience Fees Paid:,	
Total Paid under this plan: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25</vt:i4>
      </vt:variant>
    </vt:vector>
  </HeadingPairs>
  <TitlesOfParts>
    <vt:vector baseType="lpstr" size="25">
      <vt:lpstr>CVCSPSCFCorp_IPDailyNOP</vt:lpstr>
      <vt:lpstr>CVCSPSCFCorp_AutomaticPayment</vt:lpstr>
      <vt:lpstr>CVCSPSCFPC_AutomaticPayment</vt:lpstr>
      <vt:lpstr>CVCSPSCFPS_AutomaticPayment</vt:lpstr>
      <vt:lpstr>CVCSPSCFCC_AutomaticPayment</vt:lpstr>
      <vt:lpstr>CVCSPSCFPS_RecDeferred</vt:lpstr>
      <vt:lpstr>CVCSPSCFPC_RecDeferred</vt:lpstr>
      <vt:lpstr>CVCSPSCFCorp_RecDeferred</vt:lpstr>
      <vt:lpstr>CVCSPSCFCC_RecDeferred</vt:lpstr>
      <vt:lpstr>CVCSPSCFPS_RecDaily</vt:lpstr>
      <vt:lpstr>CVCSPSCFPC_RecDaily</vt:lpstr>
      <vt:lpstr>CVCSPSCFCorp_RecDaily</vt:lpstr>
      <vt:lpstr>CVCSPSCFCC_RecDaily</vt:lpstr>
      <vt:lpstr>CVCSPSCFPS_IPDeferred</vt:lpstr>
      <vt:lpstr>CVCSPSCFPC_IPDeferred</vt:lpstr>
      <vt:lpstr>CVCSPSCFCC_IPDeferred</vt:lpstr>
      <vt:lpstr>CVCSPSCFCorp_IPDeferred</vt:lpstr>
      <vt:lpstr>CVCSPSCFPS_IPDailyIA</vt:lpstr>
      <vt:lpstr>CVCSPSCFPC_IPDailyIA</vt:lpstr>
      <vt:lpstr>CVCSPSCFCC_IPDailyIA</vt:lpstr>
      <vt:lpstr>CVCSPSCFCorp_IPDailyIA</vt:lpstr>
      <vt:lpstr>CVCSPSCFCC_IPDailyNOP</vt:lpstr>
      <vt:lpstr>CVCSPSCFPC_IPDailyNOP</vt:lpstr>
      <vt:lpstr>CVCSPSCFPS_IPDailyNOP</vt:lpstr>
      <vt:lpstr>CVCSPSCFCorp_RecMonthly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Mishra, Komal</dc:creator>
  <cp:lastModifiedBy>Bhushan, Bharat</cp:lastModifiedBy>
  <dcterms:modified xsi:type="dcterms:W3CDTF">2026-01-09T12:37:49Z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0fe51ac3-344e-4d7e-82a2-d6ed2fbd0340_Enabled" pid="2">
    <vt:lpwstr>true</vt:lpwstr>
  </property>
  <property fmtid="{D5CDD505-2E9C-101B-9397-08002B2CF9AE}" name="MSIP_Label_0fe51ac3-344e-4d7e-82a2-d6ed2fbd0340_SetDate" pid="3">
    <vt:lpwstr>2025-09-15T19:18:12Z</vt:lpwstr>
  </property>
  <property fmtid="{D5CDD505-2E9C-101B-9397-08002B2CF9AE}" name="MSIP_Label_0fe51ac3-344e-4d7e-82a2-d6ed2fbd0340_Method" pid="4">
    <vt:lpwstr>Privileged</vt:lpwstr>
  </property>
  <property fmtid="{D5CDD505-2E9C-101B-9397-08002B2CF9AE}" name="MSIP_Label_0fe51ac3-344e-4d7e-82a2-d6ed2fbd0340_Name" pid="5">
    <vt:lpwstr>Public</vt:lpwstr>
  </property>
  <property fmtid="{D5CDD505-2E9C-101B-9397-08002B2CF9AE}" name="MSIP_Label_0fe51ac3-344e-4d7e-82a2-d6ed2fbd0340_SiteId" pid="6">
    <vt:lpwstr>1f7c1878-7408-4f86-b429-cf17f96a717c</vt:lpwstr>
  </property>
  <property fmtid="{D5CDD505-2E9C-101B-9397-08002B2CF9AE}" name="MSIP_Label_0fe51ac3-344e-4d7e-82a2-d6ed2fbd0340_ActionId" pid="7">
    <vt:lpwstr>79d9fbb5-dbb1-4df5-8faf-47d3ac8a6478</vt:lpwstr>
  </property>
  <property fmtid="{D5CDD505-2E9C-101B-9397-08002B2CF9AE}" name="MSIP_Label_0fe51ac3-344e-4d7e-82a2-d6ed2fbd0340_ContentBits" pid="8">
    <vt:lpwstr>2</vt:lpwstr>
  </property>
  <property fmtid="{D5CDD505-2E9C-101B-9397-08002B2CF9AE}" name="MSIP_Label_0fe51ac3-344e-4d7e-82a2-d6ed2fbd0340_Tag" pid="9">
    <vt:lpwstr>10, 0, 1, 1</vt:lpwstr>
  </property>
</Properties>
</file>