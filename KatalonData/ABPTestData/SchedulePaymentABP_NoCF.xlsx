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mc="http://schemas.openxmlformats.org/markup-compatibility/2006" xmlns:r="http://schemas.openxmlformats.org/officeDocument/2006/relationships" xmlns:x15="http://schemas.microsoft.com/office/spreadsheetml/2010/11/main" xmlns:xr="http://schemas.microsoft.com/office/spreadsheetml/2014/revision" xmlns:xr10="http://schemas.microsoft.com/office/spreadsheetml/2016/revision10" xmlns:xr2="http://schemas.microsoft.com/office/spreadsheetml/2015/revision2" xmlns:xr6="http://schemas.microsoft.com/office/spreadsheetml/2016/revision6" mc:Ignorable="x15 xr xr6 xr10 xr2">
  <fileVersion appName="xl" lastEdited="7" lowestEdited="6" rupBuild="29029"/>
  <workbookPr/>
  <mc:AlternateContent>
    <mc:Choice Requires="x15">
      <x15ac:absPath xmlns:x15ac="http://schemas.microsoft.com/office/spreadsheetml/2010/11/ac" url="C:\Users\t476640\Documents\VPS-Katalon\KatalonData\ABPTestData\"/>
    </mc:Choice>
  </mc:AlternateContent>
  <xr:revisionPtr documentId="13_ncr:1_{61DA1CC7-D086-4C6C-8D86-272F6095010B}" revIDLastSave="0" xr10:uidLastSave="{00000000-0000-0000-0000-000000000000}" xr6:coauthVersionLast="47" xr6:coauthVersionMax="47"/>
  <bookViews>
    <workbookView activeTab="3" firstSheet="2" windowHeight="10300" windowWidth="19420" xWindow="-110" xr2:uid="{00000000-000D-0000-FFFF-FFFF00000000}" yWindow="-110"/>
  </bookViews>
  <sheets>
    <sheet name="CVCSPNoCFPS_RecMonthly" r:id="rId1" sheetId="1"/>
    <sheet name="CVCSPNoCFCC_RecMonthly" r:id="rId2" sheetId="2"/>
    <sheet name="CVCSPNoCFPC_RecMonthly" r:id="rId3" sheetId="3"/>
    <sheet name="CVCSPNoCFCorp_RecMonthly" r:id="rId4" sheetId="4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i="4" l="1" r="G2"/>
  <c i="4" r="L2"/>
  <c i="4" r="P2" s="1"/>
  <c i="3" r="G2"/>
  <c i="3" r="L2"/>
  <c i="3" r="P2" s="1"/>
  <c i="2" r="G2"/>
  <c i="2" r="L2"/>
  <c i="2" r="P2" s="1"/>
  <c i="1" r="L2"/>
  <c i="1" r="P2" s="1"/>
  <c i="1" r="G2"/>
  <c i="4" l="1" r="O2"/>
  <c i="3" r="O2"/>
  <c i="2" r="O2"/>
  <c i="1" r="O2"/>
</calcChain>
</file>

<file path=xl/sharedStrings.xml><?xml version="1.0" encoding="utf-8"?>
<sst xmlns="http://schemas.openxmlformats.org/spreadsheetml/2006/main" count="132" uniqueCount="34">
  <si>
    <t>Result</t>
  </si>
  <si>
    <t>Date</t>
  </si>
  <si>
    <t>Notes</t>
  </si>
  <si>
    <t>Execute</t>
  </si>
  <si>
    <t>Amount</t>
  </si>
  <si>
    <t>UDFID</t>
  </si>
  <si>
    <t>PaymentMethod</t>
  </si>
  <si>
    <t>PaymentPlanType</t>
  </si>
  <si>
    <t>PaymentPlanFrequency</t>
  </si>
  <si>
    <t>DivideYourPaymentPlan</t>
  </si>
  <si>
    <t>VTList1</t>
  </si>
  <si>
    <t>CFAmount</t>
  </si>
  <si>
    <t>VTList</t>
  </si>
  <si>
    <t>ReviewConvinienceFee</t>
  </si>
  <si>
    <t>Pass</t>
  </si>
  <si>
    <t>Y</t>
  </si>
  <si>
    <t>10.50</t>
  </si>
  <si>
    <t>1</t>
  </si>
  <si>
    <t>RecurringAmount</t>
  </si>
  <si>
    <t>NumberOfPayments</t>
  </si>
  <si>
    <t>Monthly</t>
  </si>
  <si>
    <t>Scheduled Payment--View the Information,
180RemittanceID: 916-151942,
1. Review bill to pay,
Bills Label,	Due Date,	Date Submitted,	Date Modified,	Amount Due,	Amount to Pay,
ImtiazABPnoCF916,	 EST, 	
UDF1:,	udf data 1,
UDF2:,	udf data 2,
UDF3:,	udf3,
UDF4:,	udf data4,
2. Payment Method,
First Name:,Imtiaz,
Last Name:,Ahmed,
Routing Number:,****2691,
Account Number:,****5489,
Billing Address:,1853 Mandan Terace,
Greenbelt, Maryland MD 20770,
Country:,	UNITED STATES,
Account Type:,	Personal Savings,
3. Payment Plan Information,
Payment Plan Type:,	Recurring,
Payment Plan Duration:,	Monthly,
Payment Plan Start Date:,	
4. Payment Plan,Monthly payment of $</t>
  </si>
  <si>
    <t>Thu Oct 09 00:37:53 IST 2025</t>
  </si>
  <si>
    <t>Thu Oct 09 01:48:21 IST 2025</t>
  </si>
  <si>
    <t>Wed Oct 15 14:58:06 IST 2025</t>
  </si>
  <si>
    <t>Scheduled Payment--View the Information,
180RemittanceID: 916-151942,
1. Review bill to pay,
Bills Label,	Due Date,	Date Submitted,	Date Modified,	Amount Due,	Amount to Pay,
ImtiazABPnoCF916,	 EST, 	
UDF1:,	udf data 1,
UDF2:,	udf data 2,
UDF3:,	udf3,
UDF4:,	udf data4,
2. Payment Method,
Name Appearing on Card:,Imtiaz Ahmed,
Card Type:,American Express,
Card Number:,37****1003,
Expiration Date:,05/2033
Billing Address:,1853 Mandan Terace
Greenbelt, Maryland MD 20770,
Country:,UNITED STATES,
3. Payment Plan Information,
Payment Plan Type:,	Recurring,
Payment Plan Duration:,	Monthly,
Payment Plan Start Date:,	
4. Payment Plan,Monthly payments of $</t>
  </si>
  <si>
    <t>Scheduled Payment--View the Information,
180RemittanceID: 916-151942,
1. Review bill to pay,
Bills Label,	Due Date,	Date Submitted,	Date Modified,	Amount Due,	Amount to Pay,
ImtiazABPnoCF916,	 EST, 	
UDF1:,	udf data 1,
UDF2:,	udf data 2,
UDF3:,	udf3,
UDF4:,	udf data4,
2. Payment Method,
First Name:,Imtiaz,
Last Name:,Ahmed,
Routing Number:,****4974,
Account Number:,****7002,
Billing Address:,1853 Mandan Terace,
Greenbelt, Maryland MD 20770,
Country:,UNITED STATES,
Account Type:,Personal Checking,
3. Payment Plan Information,
Payment Plan Type:,	Recurring,
Payment Plan Duration:,	Monthly,
Payment Plan Start Date:,	
4. Payment Plan,Monthly payments of $</t>
  </si>
  <si>
    <t>Scheduled Payment--View the Information,
180RemittanceID: 916-151942,
1. Review bill to pay,
Bills Label,	Due Date,	Date Submitted,	Date Modified,	Amount Due,	Amount to Pay,
ImtiazABPnoCF916,	 EST, 	
UDF1:,	udf data 1,
UDF2:,	udf data 2,
UDF3:,	udf3,
UDF4:,	udf data4,
2. Payment Method,
Company Name:,Microsoft,
First Name:,Imtiaz,
Last Name:,Ahmed,
Business Tax ID:,999999999
Routing Number:,****4974,
Account Number:,****8307,
Billing Address:,1853 Mandan Terace,
Greenbelt, Maryland MD 20770,
Country:,UNITED STATES
Account Type:,Business Checking,
3. Payment Plan Information,
Payment Plan Type:,	Recurring,
Payment Plan Duration:,	Monthly,
Payment Plan Start Date:,	
4. Payment Plan,Monthly payments of $</t>
  </si>
  <si>
    <t/>
  </si>
  <si>
    <t>Wed Oct 15 16:55:46 IST 2025</t>
  </si>
  <si>
    <t>Wed Oct 15 16:57:56 IST 2025</t>
  </si>
  <si>
    <t>Fail</t>
  </si>
  <si>
    <t>Sat Nov 08 12:12:52 EST 2025</t>
  </si>
  <si>
    <t>Sat Nov 08 12:16:42 EST 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</si>
</sst>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2" x14ac:knownFonts="1">
    <font>
      <sz val="11"/>
      <color theme="1"/>
      <name val="Calibri"/>
      <family val="2"/>
      <scheme val="minor"/>
    </font>
    <font>
      <sz val="10"/>
      <color theme="1"/>
      <name val="Consolas"/>
      <family val="3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borderId="0" fillId="0" fontId="0" numFmtId="0"/>
  </cellStyleXfs>
  <cellXfs count="11">
    <xf borderId="0" fillId="0" fontId="0" numFmtId="0" xfId="0"/>
    <xf applyAlignment="1" applyBorder="1" applyNumberFormat="1" borderId="1" fillId="0" fontId="0" numFmtId="49" xfId="0">
      <alignment wrapText="1"/>
    </xf>
    <xf applyAlignment="1" applyFont="1" borderId="0" fillId="0" fontId="1" numFmtId="0" xfId="0">
      <alignment vertical="center"/>
    </xf>
    <xf applyAlignment="1" applyBorder="1" applyNumberFormat="1" borderId="2" fillId="0" fontId="0" numFmtId="49" xfId="0">
      <alignment wrapText="1"/>
    </xf>
    <xf applyAlignment="1" applyBorder="1" borderId="1" fillId="0" fontId="0" numFmtId="0" xfId="0">
      <alignment vertical="top" wrapText="1"/>
    </xf>
    <xf applyAlignment="1" applyBorder="1" applyNumberFormat="1" borderId="1" fillId="0" fontId="0" numFmtId="49" xfId="0">
      <alignment vertical="top" wrapText="1"/>
    </xf>
    <xf applyAlignment="1" borderId="0" fillId="0" fontId="0" numFmtId="0" xfId="0">
      <alignment vertical="top" wrapText="1"/>
    </xf>
    <xf applyAlignment="1" applyNumberFormat="1" borderId="0" fillId="0" fontId="0" numFmtId="164" xfId="0">
      <alignment vertical="top" wrapText="1"/>
    </xf>
    <xf applyAlignment="1" applyNumberFormat="1" borderId="0" fillId="0" fontId="0" numFmtId="2" xfId="0">
      <alignment vertical="top" wrapText="1"/>
    </xf>
    <xf applyAlignment="1" borderId="0" fillId="0" fontId="0" numFmtId="0" xfId="0">
      <alignment horizontal="center" vertical="top" wrapText="1"/>
    </xf>
    <xf applyAlignment="1" borderId="0" fillId="0" fontId="0" numFmtId="0" xfId="0">
      <alignment wrapText="1"/>
    </xf>
  </cellXfs>
  <cellStyles count="1">
    <cellStyle builtinId="0" name="Normal" xfId="0"/>
  </cellStyles>
  <dxfs count="0"/>
  <tableStyles count="0" defaultPivotStyle="PivotStyleLight16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5" Target="theme/theme1.xml" Type="http://schemas.openxmlformats.org/officeDocument/2006/relationships/theme"/><Relationship Id="rId6" Target="styles.xml" Type="http://schemas.openxmlformats.org/officeDocument/2006/relationships/styles"/><Relationship Id="rId7" Target="sharedStrings.xml" Type="http://schemas.openxmlformats.org/officeDocument/2006/relationships/sharedStrings"/><Relationship Id="rId8" Target="calcChain.xml" Type="http://schemas.openxmlformats.org/officeDocument/2006/relationships/calcChain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panose="020F0302020204030204"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panose="020F0502020204030204"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algn="ctr" cap="flat" cmpd="sng" w="6350">
          <a:solidFill>
            <a:schemeClr val="phClr"/>
          </a:solidFill>
          <a:prstDash val="solid"/>
          <a:miter lim="800000"/>
        </a:ln>
        <a:ln algn="ctr" cap="flat" cmpd="sng" w="12700">
          <a:solidFill>
            <a:schemeClr val="phClr"/>
          </a:solidFill>
          <a:prstDash val="solid"/>
          <a:miter lim="800000"/>
        </a:ln>
        <a:ln algn="ctr" cap="flat" cmpd="sng" w="19050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algn="ctr" blurRad="57150" dir="5400000" dist="19050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id="{62F939B6-93AF-4DB8-9C6B-D6C7DFDC589F}" name="Office Theme" vid="{4A3C46E8-61CC-4603-A589-7422A47A8E4A}"/>
    </a:ext>
  </a:extLst>
</a:theme>
</file>

<file path=xl/worksheets/sheet1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"/>
  <sheetViews>
    <sheetView topLeftCell="A2" workbookViewId="0">
      <selection sqref="A1:P2"/>
    </sheetView>
  </sheetViews>
  <sheetFormatPr defaultRowHeight="14.5" x14ac:dyDescent="0.35"/>
  <cols>
    <col min="11" max="11" customWidth="true" width="23.5429687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33</v>
      </c>
      <c r="C2" s="4"/>
      <c r="D2" s="5" t="s">
        <v>15</v>
      </c>
      <c r="E2" s="5" t="s">
        <v>16</v>
      </c>
      <c r="F2" s="5" t="s">
        <v>17</v>
      </c>
      <c r="G2" t="str">
        <f>"CarlosJacinta"</f>
        <v>CarlosJacinta</v>
      </c>
      <c r="H2" t="s">
        <v>18</v>
      </c>
      <c r="I2" t="s">
        <v>20</v>
      </c>
      <c r="J2" t="s">
        <v>19</v>
      </c>
      <c r="K2" s="6" t="s">
        <v>21</v>
      </c>
      <c r="L2" s="6" t="str">
        <f ca="1">TEXT(TODAY()+1,"mm/dd/yyyy")</f>
        <v>10/16/2025</v>
      </c>
      <c r="M2" s="7">
        <v>10</v>
      </c>
      <c r="N2" s="8">
        <v>0</v>
      </c>
      <c r="O2" s="9" t="str">
        <f ca="1">K2&amp;TEXT(M2,"0.00")&amp;" on "&amp;L2&amp;","&amp;P2</f>
        <v>Scheduled Payment--View the Information,
180RemittanceID: 916-151942,
1. Review bill to pay,
Bills Label,	Due Date,	Date Submitted,	Date Modified,	Amount Due,	Amount to Pay,
ImtiazABPnoCF916,	 EST, 	
UDF1:,	udf data 1,
UDF2:,	udf data 2,
UDF3:,	udf3,
UDF4:,	udf data4,
2. Payment Method,
First Name:,Imtiaz,
Last Name:,Ahmed,
Routing Number:,****2691,
Account Number:,****5489,
Billing Address:,1853 Mandan Terace,
Greenbelt, Maryland MD 20770,
Country:,	UNITED STATES,
Account Type:,	Personal Savings,
3. Payment Plan Information,
Payment Plan Type:,	Recurring,
Payment Plan Duration:,	Monthly,
Payment Plan Start Date:,	
4. Payment Plan,Monthly payment of $10.00 on 10/16/2025,A Convenience Fee will be added to each transaction issued for Monthly payment of 0.00 starting on 10/16/2025 ,Individual Convenience Fee Amount:,	
Total Convenience Fees Paid:,	
Total Paid under this plan:</v>
      </c>
      <c r="P2" s="10" t="str">
        <f ca="1">"A Convenience Fee will be added to each transaction issued for Monthly payment of "&amp;  TEXT(N2,"0.00")&amp;" starting on "&amp;L2&amp;" ,Individual Convenience Fee Amount:,	
Total Convenience Fees Paid:,	
Total Paid under this plan:"</f>
        <v>A Convenience Fee will be added to each transaction issued for Monthly payment of 0.00 starting on 10/16/2025 ,Individual Convenience Fee Amount:,	
Total Convenience Fees Paid:,	
Total Paid under this plan:</v>
      </c>
    </row>
  </sheetData>
  <pageMargins bottom="0.75" footer="0.3" header="0.3" left="0.7" right="0.7" top="0.75"/>
  <headerFooter>
    <oddFooter xml:space="preserve">&amp;C_x000D_&amp;1#&amp;"Calibri"&amp;10&amp;K000000 Public </oddFooter>
  </headerFooter>
</worksheet>
</file>

<file path=xl/worksheets/sheet2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CD28ED-6B88-4076-A023-4B2AA175CC49}">
  <dimension ref="A1:Q2"/>
  <sheetViews>
    <sheetView topLeftCell="B2" workbookViewId="0">
      <selection activeCell="O2" sqref="O2"/>
    </sheetView>
  </sheetViews>
  <sheetFormatPr defaultRowHeight="14.5" x14ac:dyDescent="0.35"/>
  <cols>
    <col min="3" max="3" bestFit="true" customWidth="true" width="5.6328125" collapsed="true"/>
    <col min="11" max="11" customWidth="true" width="26.453125" collapsed="true"/>
    <col min="15" max="15" customWidth="true" width="23.72656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29</v>
      </c>
      <c r="C2" s="4"/>
      <c r="D2" s="5" t="s">
        <v>15</v>
      </c>
      <c r="E2" s="5" t="s">
        <v>16</v>
      </c>
      <c r="F2" s="5" t="s">
        <v>17</v>
      </c>
      <c r="G2" t="str">
        <f>"Bridges"</f>
        <v>Bridges</v>
      </c>
      <c r="H2" t="s">
        <v>18</v>
      </c>
      <c r="I2" t="s">
        <v>20</v>
      </c>
      <c r="J2" t="s">
        <v>19</v>
      </c>
      <c r="K2" s="6" t="s">
        <v>25</v>
      </c>
      <c r="L2" s="6" t="str">
        <f ca="1">TEXT(TODAY()+1,"mm/dd/yyyy")</f>
        <v>10/16/2025</v>
      </c>
      <c r="M2" s="7">
        <v>10</v>
      </c>
      <c r="N2" s="8">
        <v>0</v>
      </c>
      <c r="O2" s="9" t="str">
        <f ca="1">K2&amp;TEXT(M2,"0.00")&amp;" starting on "&amp;L2&amp;","&amp;P2</f>
        <v>Scheduled Payment--View the Information,
180RemittanceID: 916-151942,
1. Review bill to pay,
Bills Label,	Due Date,	Date Submitted,	Date Modified,	Amount Due,	Amount to Pay,
ImtiazABPnoCF916,	 EST, 	
UDF1:,	udf data 1,
UDF2:,	udf data 2,
UDF3:,	udf3,
UDF4:,	udf data4,
2. Payment Method,
Name Appearing on Card:,Imtiaz Ahmed,
Card Type:,American Express,
Card Number:,37****1003,
Expiration Date:,05/2033
Billing Address:,1853 Mandan Terace
Greenbelt, Maryland MD 20770,
Country:,UNITED STATES,
3. Payment Plan Information,
Payment Plan Type:,	Recurring,
Payment Plan Duration:,	Monthly,
Payment Plan Start Date:,	
4. Payment Plan,Monthly payments of $10.00 starting on 10/16/2025,A Convenience Fee will be added to each transaction issued for Monthly payment of 0.00 starting on 10/16/2025 ,Individual Convenience Fee Amount:,	
Total Convenience Fees Paid:,	
Total Paid under this plan:</v>
      </c>
      <c r="P2" s="10" t="str">
        <f ca="1">"A Convenience Fee will be added to each transaction issued for Monthly payment of "&amp;  TEXT(N2,"0.00")&amp;" starting on "&amp;L2&amp;" ,Individual Convenience Fee Amount:,	
Total Convenience Fees Paid:,	
Total Paid under this plan:"</f>
        <v>A Convenience Fee will be added to each transaction issued for Monthly payment of 0.00 starting on 10/16/2025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3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8E6C38-F14D-4B06-9F0D-017FEF3E0BF1}">
  <dimension ref="A1:Q2"/>
  <sheetViews>
    <sheetView topLeftCell="A2" workbookViewId="0">
      <selection activeCell="O2" sqref="O2"/>
    </sheetView>
  </sheetViews>
  <sheetFormatPr defaultRowHeight="14.5" x14ac:dyDescent="0.35"/>
  <cols>
    <col min="11" max="11" customWidth="true" width="32.906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22</v>
      </c>
      <c r="C2" s="4"/>
      <c r="D2" s="5" t="s">
        <v>15</v>
      </c>
      <c r="E2" s="5" t="s">
        <v>16</v>
      </c>
      <c r="F2" s="5" t="s">
        <v>17</v>
      </c>
      <c r="G2" t="str">
        <f>"Carlos"</f>
        <v>Carlos</v>
      </c>
      <c r="H2" t="s">
        <v>18</v>
      </c>
      <c r="I2" t="s">
        <v>20</v>
      </c>
      <c r="J2" t="s">
        <v>19</v>
      </c>
      <c r="K2" s="6" t="s">
        <v>26</v>
      </c>
      <c r="L2" s="6" t="str">
        <f ca="1">TEXT(TODAY()+1,"mm/dd/yyyy")</f>
        <v>10/16/2025</v>
      </c>
      <c r="M2" s="7">
        <v>10</v>
      </c>
      <c r="N2" s="8">
        <v>0</v>
      </c>
      <c r="O2" s="9" t="str">
        <f ca="1">K2&amp;TEXT(M2,"0.00")&amp;" starting on "&amp;L2&amp;","&amp;P2</f>
        <v>Scheduled Payment--View the Information,
180RemittanceID: 916-151942,
1. Review bill to pay,
Bills Label,	Due Date,	Date Submitted,	Date Modified,	Amount Due,	Amount to Pay,
ImtiazABPnoCF916,	 EST, 	
UDF1:,	udf data 1,
UDF2:,	udf data 2,
UDF3:,	udf3,
UDF4:,	udf data4,
2. Payment Method,
First Name:,Imtiaz,
Last Name:,Ahmed,
Routing Number:,****4974,
Account Number:,****7002,
Billing Address:,1853 Mandan Terace,
Greenbelt, Maryland MD 20770,
Country:,UNITED STATES,
Account Type:,Personal Checking,
3. Payment Plan Information,
Payment Plan Type:,	Recurring,
Payment Plan Duration:,	Monthly,
Payment Plan Start Date:,	
4. Payment Plan,Monthly payments of $10.00 starting on 10/16/2025,A Convenience Fee will be added to each transaction issued for Monthly payment of 0.00 starting on 10/16/2025 ,Individual Convenience Fee Amount:,	
Total Convenience Fees Paid:,	
Total Paid under this plan:</v>
      </c>
      <c r="P2" s="10" t="str">
        <f ca="1">"A Convenience Fee will be added to each transaction issued for Monthly payment of "&amp;  TEXT(N2,"0.00")&amp;" starting on "&amp;L2&amp;" ,Individual Convenience Fee Amount:,	
Total Convenience Fees Paid:,	
Total Paid under this plan:"</f>
        <v>A Convenience Fee will be added to each transaction issued for Monthly payment of 0.00 starting on 10/16/2025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4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B12DE-9459-4B21-A76D-74D1C2CFA77A}">
  <dimension ref="A1:Q2"/>
  <sheetViews>
    <sheetView tabSelected="1" topLeftCell="A2" workbookViewId="0">
      <selection activeCell="O2" sqref="O2"/>
    </sheetView>
  </sheetViews>
  <sheetFormatPr defaultRowHeight="14.5" x14ac:dyDescent="0.35"/>
  <cols>
    <col min="11" max="11" customWidth="true" width="20.816406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32</v>
      </c>
      <c r="C2" s="4"/>
      <c r="D2" s="5" t="s">
        <v>15</v>
      </c>
      <c r="E2" s="5" t="s">
        <v>16</v>
      </c>
      <c r="F2" s="5" t="s">
        <v>17</v>
      </c>
      <c r="G2" t="str">
        <f>"Smith"</f>
        <v>Smith</v>
      </c>
      <c r="H2" t="s">
        <v>18</v>
      </c>
      <c r="I2" t="s">
        <v>20</v>
      </c>
      <c r="J2" t="s">
        <v>19</v>
      </c>
      <c r="K2" s="6" t="s">
        <v>27</v>
      </c>
      <c r="L2" s="6" t="str">
        <f ca="1">TEXT(TODAY()+1,"mm/dd/yyyy")</f>
        <v>10/16/2025</v>
      </c>
      <c r="M2" s="7">
        <v>10</v>
      </c>
      <c r="N2" s="8">
        <v>0</v>
      </c>
      <c r="O2" s="9" t="str">
        <f ca="1">K2&amp;TEXT(M2,"0.00")&amp;" starting on "&amp;L2&amp;","&amp;P2</f>
        <v>Scheduled Payment--View the Information,
180RemittanceID: 916-151942,
1. Review bill to pay,
Bills Label,	Due Date,	Date Submitted,	Date Modified,	Amount Due,	Amount to Pay,
ImtiazABPnoCF916,	 EST, 	
UDF1:,	udf data 1,
UDF2:,	udf data 2,
UDF3:,	udf3,
UDF4:,	udf data4,
2. Payment Method,
Company Name:,Microsoft,
First Name:,Imtiaz,
Last Name:,Ahmed,
Business Tax ID:,999999999
Routing Number:,****4974,
Account Number:,****8307,
Billing Address:,1853 Mandan Terace,
Greenbelt, Maryland MD 20770,
Country:,UNITED STATES
Account Type:,Business Checking,
3. Payment Plan Information,
Payment Plan Type:,	Recurring,
Payment Plan Duration:,	Monthly,
Payment Plan Start Date:,	
4. Payment Plan,Monthly payments of $10.00 starting on 10/16/2025,A Convenience Fee will be added to each transaction issued for Monthly payment of 0.00 starting on 10/16/2025 ,Individual Convenience Fee Amount:,	
Total Convenience Fees Paid:,	
Total Paid under this plan:</v>
      </c>
      <c r="P2" s="10" t="str">
        <f ca="1">"A Convenience Fee will be added to each transaction issued for Monthly payment of "&amp;  TEXT(N2,"0.00")&amp;" starting on "&amp;L2&amp;" ,Individual Convenience Fee Amount:,	
Total Convenience Fees Paid:,	
Total Paid under this plan:"</f>
        <v>A Convenience Fee will be added to each transaction issued for Monthly payment of 0.00 starting on 10/16/2025 ,Individual Convenience Fee Amount:,	
Total Convenience Fees Paid:,	
Total Paid under this plan:</v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baseType="variant" size="2">
      <vt:variant>
        <vt:lpstr>Worksheets</vt:lpstr>
      </vt:variant>
      <vt:variant>
        <vt:i4>4</vt:i4>
      </vt:variant>
    </vt:vector>
  </HeadingPairs>
  <TitlesOfParts>
    <vt:vector baseType="lpstr" size="4">
      <vt:lpstr>CVCSPNoCFPS_RecMonthly</vt:lpstr>
      <vt:lpstr>CVCSPNoCFCC_RecMonthly</vt:lpstr>
      <vt:lpstr>CVCSPNoCFPC_RecMonthly</vt:lpstr>
      <vt:lpstr>CVCSPNoCFCorp_RecMonthly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2015-06-05T18:17:20Z</dcterms:created>
  <dc:creator>Mishra, Komal</dc:creator>
  <cp:lastModifiedBy>Mishra, Komal</cp:lastModifiedBy>
  <dcterms:modified xsi:type="dcterms:W3CDTF">2025-10-15T11:23:42Z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name="MSIP_Label_0fe51ac3-344e-4d7e-82a2-d6ed2fbd0340_Enabled" pid="2">
    <vt:lpwstr>true</vt:lpwstr>
  </property>
  <property fmtid="{D5CDD505-2E9C-101B-9397-08002B2CF9AE}" name="MSIP_Label_0fe51ac3-344e-4d7e-82a2-d6ed2fbd0340_SetDate" pid="3">
    <vt:lpwstr>2025-10-08T16:19:03Z</vt:lpwstr>
  </property>
  <property fmtid="{D5CDD505-2E9C-101B-9397-08002B2CF9AE}" name="MSIP_Label_0fe51ac3-344e-4d7e-82a2-d6ed2fbd0340_Method" pid="4">
    <vt:lpwstr>Privileged</vt:lpwstr>
  </property>
  <property fmtid="{D5CDD505-2E9C-101B-9397-08002B2CF9AE}" name="MSIP_Label_0fe51ac3-344e-4d7e-82a2-d6ed2fbd0340_Name" pid="5">
    <vt:lpwstr>Public</vt:lpwstr>
  </property>
  <property fmtid="{D5CDD505-2E9C-101B-9397-08002B2CF9AE}" name="MSIP_Label_0fe51ac3-344e-4d7e-82a2-d6ed2fbd0340_SiteId" pid="6">
    <vt:lpwstr>1f7c1878-7408-4f86-b429-cf17f96a717c</vt:lpwstr>
  </property>
  <property fmtid="{D5CDD505-2E9C-101B-9397-08002B2CF9AE}" name="MSIP_Label_0fe51ac3-344e-4d7e-82a2-d6ed2fbd0340_ActionId" pid="7">
    <vt:lpwstr>1bcc07b5-a553-4abb-80f9-d481154c4ef0</vt:lpwstr>
  </property>
  <property fmtid="{D5CDD505-2E9C-101B-9397-08002B2CF9AE}" name="MSIP_Label_0fe51ac3-344e-4d7e-82a2-d6ed2fbd0340_ContentBits" pid="8">
    <vt:lpwstr>2</vt:lpwstr>
  </property>
  <property fmtid="{D5CDD505-2E9C-101B-9397-08002B2CF9AE}" name="MSIP_Label_0fe51ac3-344e-4d7e-82a2-d6ed2fbd0340_Tag" pid="9">
    <vt:lpwstr>10, 0, 1, 1</vt:lpwstr>
  </property>
</Properties>
</file>