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ABPTestData\"/>
    </mc:Choice>
  </mc:AlternateContent>
  <xr:revisionPtr revIDLastSave="0" documentId="13_ncr:1_{4C57AE5B-CA0B-43A5-8CB0-ABB6D4F0843E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CVCSPNoCFPS_RecMonthly" sheetId="1" r:id="rId1"/>
    <sheet name="CVCSPNoCFCC_RecMonthly" sheetId="2" r:id="rId2"/>
    <sheet name="CVCSPNoCFPC_RecMonthly" sheetId="3" r:id="rId3"/>
    <sheet name="CVCSPNoCFCorp_RecMonthl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L2" i="4"/>
  <c r="P2" i="4" s="1"/>
  <c r="G2" i="3"/>
  <c r="L2" i="3"/>
  <c r="P2" i="3" s="1"/>
  <c r="G2" i="2"/>
  <c r="L2" i="2"/>
  <c r="P2" i="2" s="1"/>
  <c r="L2" i="1"/>
  <c r="P2" i="1" s="1"/>
  <c r="G2" i="1"/>
  <c r="O2" i="1" l="1"/>
  <c r="O2" i="4"/>
  <c r="O2" i="3"/>
  <c r="O2" i="2"/>
</calcChain>
</file>

<file path=xl/sharedStrings.xml><?xml version="1.0" encoding="utf-8"?>
<sst xmlns="http://schemas.openxmlformats.org/spreadsheetml/2006/main" count="100" uniqueCount="29">
  <si>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</si>
  <si>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</si>
  <si>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</si>
  <si>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</si>
  <si>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</si>
  <si>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</si>
  <si>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</si>
  <si>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</si>
  <si>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</si>
  <si>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</si>
  <si>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</si>
  <si>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</si>
  <si>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</si>
  <si>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</si>
  <si>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</si>
  <si>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</si>
  <si>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</si>
  <si>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</si>
  <si>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RecurringAmount</t>
  </si>
  <si>
    <t>NumberOfPayments</t>
  </si>
  <si>
    <t>Monthly</t>
  </si>
  <si>
    <t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Name Appearing on Card:,Imtiaz Ahmed,
Card Type:,American Express,
Card Number:,37****1003,
Expiration Date:,05/2033
Billing Address:,1853 Mandan Terace
Greenbelt, Maryland MD 20770,
Country:,UNITED STATES,
3. Payment Plan Information,
Payment Plan Type:,	Recurring,
Payment Plan Duration:,	Monthly,
Payment Plan Start Date:,	
4. Payment Plan,Monthly payments of $</t>
  </si>
  <si>
    <t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First Name:,Imtiaz,
Last Name:,Ahmed,
Routing Number:,****4974,
Account Number:,****7002,
Billing Address:,1853 Mandan Terace,
Greenbelt, Maryland MD 20770,
Country:,UNITED STATES,
Account Type:,Personal Checking,
3. Payment Plan Information,
Payment Plan Type:,	Recurring,
Payment Plan Duration:,	Monthly,
Payment Plan Start Date:,	
4. Payment Plan,Monthly payments of $</t>
  </si>
  <si>
    <t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Company Name:,Microsoft,
First Name:,Imtiaz,
Last Name:,Ahmed,
Business Tax ID:,999999999
Routing Number:,****4974,
Account Number:,****8307,
Billing Address:,1853 Mandan Terace,
Greenbelt, Maryland MD 20770,
Country:,UNITED STATES
Account Type:,Business Checking,
3. Payment Plan Information,
Payment Plan Type:,	Recurring,
Payment Plan Duration:,	Monthly,
Payment Plan Start Date:,	
4. Payment Plan,Monthly payments of $</t>
  </si>
  <si>
    <t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First Name:,Imtiaz,
Last Name:,Ahmed,
Routing Number:,****2691,
Account Number:,****5489,
Billing Address:,1853 Mandan Terace,
Greenbelt, Maryland MD 20770,
Country:,	UNITED STATES,
Account Type:,	Personal Savings,
3. Payment Plan Information,
Payment Plan Type:,	Recurring,
Payment Plan Duration:,	Monthly,
Payment Plan Start Date:,	
4. Payment Plan,Monthly payments of $</t>
  </si>
  <si>
    <t>Fri Sep 25 15:47:08 IST 2026</t>
  </si>
  <si>
    <t>Fri Sep 25 15:50:55 IST 2026</t>
  </si>
  <si>
    <t>Fri Sep 25 20:03:06 IST 2026</t>
  </si>
  <si>
    <t>Fri Sep 25 20:05:09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</si>
</sst>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wrapText="1"/>
    </xf>
    <xf numFmtId="0" fontId="1" fillId="0" borderId="0" xfId="0" applyFont="1" applyAlignment="1">
      <alignment vertical="center"/>
    </xf>
    <xf numFmtId="49" fontId="0" fillId="0" borderId="2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O2" sqref="O2"/>
    </sheetView>
  </sheetViews>
  <sheetFormatPr defaultRowHeight="14.5" x14ac:dyDescent="0.35"/>
  <cols>
    <col min="11" max="11" width="23.54296875" customWidth="1" collapsed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>
        <v>14</v>
      </c>
      <c r="B2" t="s">
        <v>26</v>
      </c>
      <c r="C2" s="4"/>
      <c r="D2" s="5" t="s">
        <v>15</v>
      </c>
      <c r="E2" s="5" t="s">
        <v>16</v>
      </c>
      <c r="F2" s="5" t="s">
        <v>17</v>
      </c>
      <c r="G2" t="str">
        <f>"CarlosJacinta"</f>
        <v>CarlosJacinta</v>
      </c>
      <c r="H2" t="s">
        <v>18</v>
      </c>
      <c r="I2" t="s">
        <v>20</v>
      </c>
      <c r="J2" t="s">
        <v>19</v>
      </c>
      <c r="K2" s="6" t="s">
        <v>24</v>
      </c>
      <c r="L2" s="6" t="str">
        <f ca="1">TEXT(TODAY()+1,"mm/dd/yyyy")</f>
        <v>10/13/2026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First Name:,Imtiaz,
Last Name:,Ahmed,
Routing Number:,****2691,
Account Number:,****5489,
Billing Address:,1853 Mandan Terace,
Greenbelt, Maryland MD 20770,
Country:,	UNITED STATES,
Account Type:,	Personal Savings,
3. Payment Plan Information,
Payment Plan Type:,	Recurring,
Payment Plan Duration:,	Monthly,
Payment Plan Start Date:,	
4. Payment Plan,Monthly payments of $10.00 starting on 10/13/2026,A Convenience Fee will be added to each transaction issued for Monthly payment of 0.00 starting on 10/13/2026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10/13/2026 ,Individual Convenience Fee Amount:,	
Total Convenience Fees Paid:,	
Total Paid under this plan: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28ED-6B88-4076-A023-4B2AA175CC49}">
  <dimension ref="A1:P2"/>
  <sheetViews>
    <sheetView topLeftCell="B2" workbookViewId="0">
      <selection activeCell="O2" sqref="O2"/>
    </sheetView>
  </sheetViews>
  <sheetFormatPr defaultRowHeight="14.5" x14ac:dyDescent="0.35"/>
  <cols>
    <col min="3" max="3" width="5.6328125" bestFit="1" customWidth="1" collapsed="1"/>
    <col min="11" max="11" width="26.453125" customWidth="1" collapsed="1"/>
    <col min="15" max="15" width="23.7265625" customWidth="1" collapsed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>
        <v>14</v>
      </c>
      <c r="B2" t="s">
        <v>27</v>
      </c>
      <c r="C2" s="4"/>
      <c r="D2" s="5" t="s">
        <v>15</v>
      </c>
      <c r="E2" s="5" t="s">
        <v>16</v>
      </c>
      <c r="F2" s="5" t="s">
        <v>17</v>
      </c>
      <c r="G2" t="str">
        <f>"Bridges"</f>
        <v>Bridges</v>
      </c>
      <c r="H2" t="s">
        <v>18</v>
      </c>
      <c r="I2" t="s">
        <v>20</v>
      </c>
      <c r="J2" t="s">
        <v>19</v>
      </c>
      <c r="K2" s="6" t="s">
        <v>21</v>
      </c>
      <c r="L2" s="6" t="str">
        <f ca="1">TEXT(TODAY()+1,"mm/dd/yyyy")</f>
        <v>10/13/2026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Name Appearing on Card:,Imtiaz Ahmed,
Card Type:,American Express,
Card Number:,37****1003,
Expiration Date:,05/2033
Billing Address:,1853 Mandan Terace
Greenbelt, Maryland MD 20770,
Country:,UNITED STATES,
3. Payment Plan Information,
Payment Plan Type:,	Recurring,
Payment Plan Duration:,	Monthly,
Payment Plan Start Date:,	
4. Payment Plan,Monthly payments of $10.00 starting on 10/13/2026,A Convenience Fee will be added to each transaction issued for Monthly payment of 0.00 starting on 10/13/2026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10/13/2026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6C38-F14D-4B06-9F0D-017FEF3E0BF1}">
  <dimension ref="A1:P2"/>
  <sheetViews>
    <sheetView topLeftCell="A2" workbookViewId="0">
      <selection activeCell="O2" sqref="O2"/>
    </sheetView>
  </sheetViews>
  <sheetFormatPr defaultRowHeight="14.5" x14ac:dyDescent="0.35"/>
  <cols>
    <col min="11" max="11" width="32.90625" customWidth="1" collapsed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>
        <v>14</v>
      </c>
      <c r="B2" t="s">
        <v>28</v>
      </c>
      <c r="C2" s="4"/>
      <c r="D2" s="5" t="s">
        <v>15</v>
      </c>
      <c r="E2" s="5" t="s">
        <v>16</v>
      </c>
      <c r="F2" s="5" t="s">
        <v>17</v>
      </c>
      <c r="G2" t="str">
        <f>"Carlos"</f>
        <v>Carlos</v>
      </c>
      <c r="H2" t="s">
        <v>18</v>
      </c>
      <c r="I2" t="s">
        <v>20</v>
      </c>
      <c r="J2" t="s">
        <v>19</v>
      </c>
      <c r="K2" s="6" t="s">
        <v>22</v>
      </c>
      <c r="L2" s="6" t="str">
        <f ca="1">TEXT(TODAY()+1,"mm/dd/yyyy")</f>
        <v>10/13/2026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First Name:,Imtiaz,
Last Name:,Ahmed,
Routing Number:,****4974,
Account Number:,****7002,
Billing Address:,1853 Mandan Terace,
Greenbelt, Maryland MD 20770,
Country:,UNITED STATES,
Account Type:,Personal Checking,
3. Payment Plan Information,
Payment Plan Type:,	Recurring,
Payment Plan Duration:,	Monthly,
Payment Plan Start Date:,	
4. Payment Plan,Monthly payments of $10.00 starting on 10/13/2026,A Convenience Fee will be added to each transaction issued for Monthly payment of 0.00 starting on 10/13/2026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10/13/2026 ,Individual Convenience Fee Amount:,	
Total Convenience Fees Paid:,	
Total Paid under this plan: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12DE-9459-4B21-A76D-74D1C2CFA77A}">
  <dimension ref="A1:P2"/>
  <sheetViews>
    <sheetView tabSelected="1" workbookViewId="0">
      <selection activeCell="I2" sqref="I2"/>
    </sheetView>
  </sheetViews>
  <sheetFormatPr defaultRowHeight="14.5" x14ac:dyDescent="0.35"/>
  <cols>
    <col min="11" max="11" width="20.81640625" customWidth="1" collapsed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r="2" spans="1:16" ht="409.5" x14ac:dyDescent="0.35">
      <c r="A2" t="s">
        <v>14</v>
      </c>
      <c r="B2" t="s">
        <v>25</v>
      </c>
      <c r="C2" s="4"/>
      <c r="D2" s="5" t="s">
        <v>15</v>
      </c>
      <c r="E2" s="5" t="s">
        <v>16</v>
      </c>
      <c r="F2" s="5" t="s">
        <v>17</v>
      </c>
      <c r="G2" t="str">
        <f>"Smith"</f>
        <v>Smith</v>
      </c>
      <c r="H2" t="s">
        <v>18</v>
      </c>
      <c r="I2" t="s">
        <v>20</v>
      </c>
      <c r="J2" t="s">
        <v>19</v>
      </c>
      <c r="K2" s="6" t="s">
        <v>23</v>
      </c>
      <c r="L2" s="6" t="str">
        <f ca="1">TEXT(TODAY()+1,"mm/dd/yyyy")</f>
        <v>10/13/2026</v>
      </c>
      <c r="M2" s="7">
        <v>10</v>
      </c>
      <c r="N2" s="8">
        <v>0</v>
      </c>
      <c r="O2" s="9" t="str">
        <f ca="1">K2&amp;TEXT(M2,"0.00")&amp;" starting on "&amp;L2&amp;","&amp;P2</f>
        <v>Scheduled Payment--View the Information,
180RemittanceID: 916-151942,
1. Review bill to pay,
Bills Label,	Due Date,	Date Submitted,	Date Modified,	Amount Due,	Amount to Pay,
ImtiazABPnoCF916,	 EST, 	
UDF1:,	udf data 1,
UDF2:,	udf data 2,
UDF3:,	udf3,
UDF4:,	udf data4,
2. Payment Method,
Company Name:,Microsoft,
First Name:,Imtiaz,
Last Name:,Ahmed,
Business Tax ID:,999999999
Routing Number:,****4974,
Account Number:,****8307,
Billing Address:,1853 Mandan Terace,
Greenbelt, Maryland MD 20770,
Country:,UNITED STATES
Account Type:,Business Checking,
3. Payment Plan Information,
Payment Plan Type:,	Recurring,
Payment Plan Duration:,	Monthly,
Payment Plan Start Date:,	
4. Payment Plan,Monthly payments of $10.00 starting on 10/13/2026,A Convenience Fee will be added to each transaction issued for Monthly payment of 0.00 starting on 10/13/2026 ,Individual Convenience Fee Amount:,	
Total Convenience Fees Paid:,	
Total Paid under this plan:</v>
      </c>
      <c r="P2" s="10" t="str">
        <f ca="1">"A Convenience Fee will be added to each transaction issued for Monthly payment of "&amp;  TEXT(N2,"0.00")&amp;" starting on "&amp;L2&amp;" ,Individual Convenience Fee Amount:,	
Total Convenience Fees Paid:,	
Total Paid under this plan:"</f>
        <v>A Convenience Fee will be added to each transaction issued for Monthly payment of 0.00 starting on 10/13/2026 ,Individual Convenience Fee Amount:,	
Total Convenience Fees Paid:,	
Total Paid under this plan: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CVCSPNoCFPS_RecMonthly</vt:lpstr>
      <vt:lpstr>CVCSPNoCFCC_RecMonthly</vt:lpstr>
      <vt:lpstr>CVCSPNoCFPC_RecMonthly</vt:lpstr>
      <vt:lpstr>CVCSPNoCFCorp_RecMonthly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Komal</dc:creator>
  <cp:lastModifiedBy>Bhushan, Bharat</cp:lastModifiedBy>
  <dcterms:created xsi:type="dcterms:W3CDTF">2015-06-05T18:17:20Z</dcterms:created>
  <dcterms:modified xsi:type="dcterms:W3CDTF">2026-10-12T17:46:14Z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2025-10-08T16:19:03Z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1bcc07b5-a553-4abb-80f9-d481154c4ef0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