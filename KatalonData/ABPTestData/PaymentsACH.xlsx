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t470258\Documents\VPS-Katalon\KatalonData\ABPTestData\"/>
    </mc:Choice>
  </mc:AlternateContent>
  <xr:revisionPtr documentId="13_ncr:1_{34A79CD5-3AD0-4B4B-B8F9-D74B1603A7D9}" revIDLastSave="0" xr10:uidLastSave="{00000000-0000-0000-0000-000000000000}" xr6:coauthVersionLast="47" xr6:coauthVersionMax="47"/>
  <bookViews>
    <workbookView activeTab="31" firstSheet="30" windowHeight="11500" windowWidth="19420" xWindow="-110" xr2:uid="{00000000-000D-0000-FFFF-FFFF00000000}" yWindow="-110"/>
  </bookViews>
  <sheets>
    <sheet name="VerifySuccessfulPaymentPSNoCF" r:id="rId1" sheetId="1"/>
    <sheet name="VerifySuccessfulPaymentPSSCF" r:id="rId2" sheetId="2"/>
    <sheet name="VerifySuccessfulPaymentPSDCF" r:id="rId3" sheetId="3"/>
    <sheet name="VerifySuccessfulPaymentPCDCF" r:id="rId4" sheetId="4"/>
    <sheet name="VerifySuccessfulPaymentPCSCF" r:id="rId5" sheetId="5"/>
    <sheet name="VerifySuccessfulPaymentPCNoCF" r:id="rId6" sheetId="6"/>
    <sheet name="VerifySuccessfulPaymentCorpDCF" r:id="rId7" sheetId="7"/>
    <sheet name="VerifySuccessfulPaymentCorpSCF" r:id="rId8" sheetId="8"/>
    <sheet name="VerifySuccessfulPaymentCorpNoCF" r:id="rId9" sheetId="9"/>
    <sheet name="VerifyCFVerbiageOnRPPSDCF" r:id="rId10" sheetId="10"/>
    <sheet name="VerifyCFVerbiageOnRPPCDCF" r:id="rId11" sheetId="11"/>
    <sheet name="VerifyCFVerbiageOnRPCorpDCF" r:id="rId12" sheetId="12"/>
    <sheet name="VerifyStaticTextOnRecieptCorp" r:id="rId13" sheetId="13"/>
    <sheet name="VerifyStaticTextOnRecieptPS" r:id="rId14" sheetId="14"/>
    <sheet name="VerifyStaticTextOnRecieptPC" r:id="rId15" sheetId="15"/>
    <sheet name="VerifyStaticTextOnPPPCDCF" r:id="rId16" sheetId="16"/>
    <sheet name="VerifyStaticTextOnPPPSDCF" r:id="rId17" sheetId="17"/>
    <sheet name="VerifyStaticTextOnPPCorpDCF" r:id="rId18" sheetId="18"/>
    <sheet name="UIVerifySelectPaymentMethodPS" r:id="rId19" sheetId="19"/>
    <sheet name="UIVerifySelectPaymentMethodPC" r:id="rId20" sheetId="20"/>
    <sheet name="UIVerifySelectPaymentMethodCorp" r:id="rId21" sheetId="21"/>
    <sheet name="CreateVerifyDeletePSPM" r:id="rId22" sheetId="22"/>
    <sheet name="CreateVerifyDeletePCPM" r:id="rId23" sheetId="23"/>
    <sheet name="CreateVerifyDeleteCorpPM" r:id="rId24" sheetId="24"/>
    <sheet name="VerifySuccessfulPaymentSPMPCDCF" r:id="rId25" sheetId="25"/>
    <sheet name="VerifySuccessfulPaymentSPMPSDCF" r:id="rId26" sheetId="26"/>
    <sheet name="UiVerificationSPPaymentMethodPC" r:id="rId27" sheetId="28"/>
    <sheet name="VerifySuccessfulPaymentSPMCoDCF" r:id="rId28" sheetId="27"/>
    <sheet name="UiVerificationSPPMCorp" r:id="rId29" sheetId="29"/>
    <sheet name="VerifySuccessfulSPDCFPC" r:id="rId30" sheetId="30"/>
    <sheet name="UiVerificationSPPaymentMethodPS" r:id="rId31" sheetId="31"/>
    <sheet name="CreateSPDCFPC_IPDailyIA" r:id="rId32" sheetId="32"/>
    <sheet name="CVCSPDCFPC_IPDailyNOP" r:id="rId33" sheetId="33"/>
    <sheet name="CVCSPDCFPC_IPDeferred" r:id="rId34" sheetId="34"/>
    <sheet name="CVCSPDCFPC_RecDeferred" r:id="rId35" sheetId="35"/>
    <sheet name="CVCSPDCFPC_RecDaily" r:id="rId36" sheetId="36"/>
    <sheet name="CVCSPDCFPC_AutomaticPayment" r:id="rId37" sheetId="37"/>
    <sheet name="CVCSPDCFCorp_AutomaticPayment" r:id="rId38" sheetId="38"/>
    <sheet name="CVCSPDCFPS_AutomaticPayment" r:id="rId39" sheetId="39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32" l="1" r="L2"/>
  <c i="35" r="L2"/>
  <c i="36" r="L2"/>
  <c i="36" r="P2" s="1"/>
  <c i="34" r="L2"/>
  <c i="33" r="L2"/>
  <c i="33" r="P2" s="1"/>
  <c i="39" r="G2"/>
  <c i="39" r="P2"/>
  <c i="39" r="L2"/>
  <c i="38" r="L2"/>
  <c i="38" r="G2"/>
  <c i="38" r="P2"/>
  <c i="37" r="P2"/>
  <c i="37" r="L2"/>
  <c i="37" r="G2"/>
  <c i="36" r="G2"/>
  <c i="35" r="P2"/>
  <c i="35" r="G2"/>
  <c i="34" r="G2"/>
  <c i="32" r="P2"/>
  <c i="32" r="O2" s="1"/>
  <c i="33" r="G2"/>
  <c i="35" l="1" r="O2"/>
  <c i="36" r="O2"/>
  <c i="34" r="P2"/>
  <c i="34" r="O2" s="1"/>
  <c i="33" r="O2"/>
  <c i="32" r="G2"/>
  <c i="30" r="G2"/>
  <c i="30" r="G3"/>
  <c i="30" r="G4"/>
  <c i="30" r="H2"/>
  <c i="30" r="I2"/>
</calcChain>
</file>

<file path=xl/sharedStrings.xml><?xml version="1.0" encoding="utf-8"?>
<sst xmlns="http://schemas.openxmlformats.org/spreadsheetml/2006/main" count="2187" uniqueCount="478">
  <si>
    <t>Result</t>
  </si>
  <si>
    <t>Date</t>
  </si>
  <si>
    <t>Notes</t>
  </si>
  <si>
    <t>Execute</t>
  </si>
  <si>
    <t>Amount</t>
  </si>
  <si>
    <t>UDFID</t>
  </si>
  <si>
    <t>AddressID</t>
  </si>
  <si>
    <t>NameID</t>
  </si>
  <si>
    <t>ACHID</t>
  </si>
  <si>
    <t>NickName</t>
  </si>
  <si>
    <t>Pass</t>
  </si>
  <si>
    <t>Y</t>
  </si>
  <si>
    <t>10.50</t>
  </si>
  <si>
    <t>1</t>
  </si>
  <si>
    <t>VTFees</t>
  </si>
  <si>
    <t>VTAmount</t>
  </si>
  <si>
    <t>Fail</t>
  </si>
  <si>
    <t>VTList</t>
  </si>
  <si>
    <t>Payment Receipt,180RemittanceID:,Due Date,Payment Entry Date,Amount Due,Amount to Pay,ImtiazABPdoubleCFBills,EST,UDF1:,UDF2:,UDF3:,UDF4:,Fees,
Payment Method,Company Name:,First Name:,Last Name:,Routing Number:,Account Number:,Business Tax ID:,Billing Address:,Country:,Account Type:,Komal</t>
  </si>
  <si>
    <t>N</t>
  </si>
  <si>
    <t>Payment Receipt,180RemittanceID:,Due Date,Payment Entry Date,Amount Due,Amount to Pay,UDF1:,UDF2:,UDF3:,UDF4:,Fees,Total Processed:,Total Unpaid:,
Payment Method,First Name:,	Last Name:,	Routing Number:,Account Number:,Billing Address:,Country:,Account Type:</t>
  </si>
  <si>
    <t>Payment Preview,Bills Label,Due Date,Pay Date,Amount Due,Amount to Pay,Fees,Total:,
Business Checking Information,Company Name:,First Name:,Last Name:,Routing Number:,Account Number:,Business Tax ID:,ImtiazABPdoubleCFBills</t>
  </si>
  <si>
    <t>Payment Preview,Bills Label,Due Date,Pay Date,Amount Due,Amount to Pay,Fees,Total:,
Personal Savings Information,First Name:,Last Name:,Routing Number:,Account Number:,ImtiazABPdoubleCFBills</t>
  </si>
  <si>
    <t>Payment Preview,Bills Label,Due Date,Pay Date,Amount Due,Amount to Pay,Fees,Total:,
Personal Checking Information,First Name:,Last Name:,Routing Number:,Account Number:,ImtiazABPdoubleCFBills</t>
  </si>
  <si>
    <t>CardID</t>
  </si>
  <si>
    <t>AddressLine1</t>
  </si>
  <si>
    <t>Zip</t>
  </si>
  <si>
    <t>City</t>
  </si>
  <si>
    <t>NameOnCard</t>
  </si>
  <si>
    <t>Thu May 29 18:04:19 IST 2025</t>
  </si>
  <si>
    <t>7072 MAPLE GLEN DR</t>
  </si>
  <si>
    <t>CATAWBA</t>
  </si>
  <si>
    <t>CAROLYN LINEBERGER</t>
  </si>
  <si>
    <t>Personal Savings,
****5489,Billing Address:,
1853 Mandan Terace,
CATAWBA,  North Carolina ,  20770
United States</t>
  </si>
  <si>
    <t>Personal Checking,
****5489,Billing Address:,
1853 Mandan Terace,
CATAWBA,  North Carolina ,  20770
United States</t>
  </si>
  <si>
    <t>Business Checking,
****5489,Billing Address:,
1853 Mandan Terace,
CATAWBA,  North Carolina ,  20770
United States</t>
  </si>
  <si>
    <t>First Name:,Imtiaz,
Last Name:,Ahmed,
Routing Number:,****2691,
Account Number:,****5489,
Billing Address:,1853 Mandan Terace,
Greenbelt, Maryland MD 20770,
Country:,UNITED STATES,
Account Type:,Personal Checking,
click here</t>
  </si>
  <si>
    <t>Company Name:,Vaddahun Corp,
First Name:,	Imtiaz,
Last Name:,	Ahmed,
Business Tax ID:,	999999999,
Routing Number:,	****4974,
Account Number:,	****7002,
Billing Address:,	1853 Mandan Terace,
Greenbelt, Maryland MD 20770,
Country:,	UNITED STATES,
Account Type:,	Business Checking,
 click here</t>
  </si>
  <si>
    <t>Wed Aug 20 22:00:18 IST 2025</t>
  </si>
  <si>
    <t>PaymentPlanFrequency</t>
  </si>
  <si>
    <t>PaymentPlanType</t>
  </si>
  <si>
    <t>PaymentMethod</t>
  </si>
  <si>
    <t>RecurringAmount</t>
  </si>
  <si>
    <t>Daily</t>
  </si>
  <si>
    <t>AutomaticPayment</t>
  </si>
  <si>
    <t>VT</t>
  </si>
  <si>
    <t>CarlosJacinta,
First Name:,	Imtiaz,
Last Name:,	Ahmed,
Routing Number:,	****4974,
Account Number:,	****8307,
Billing Address:,	1853 Mandan Terace,
Greenbelt, Maryland MD 20770,
Country:,	UNITED STATES,
Account Type:,	Personal Savings,click here</t>
  </si>
  <si>
    <t>DivideYourPaymentPlan</t>
  </si>
  <si>
    <t>InstallmentPlan</t>
  </si>
  <si>
    <t>IndividualAmount</t>
  </si>
  <si>
    <t>VTList1</t>
  </si>
  <si>
    <t>CFAmount</t>
  </si>
  <si>
    <t>ReviewConvinienceFee</t>
  </si>
  <si>
    <t>NumberOfPayments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</si>
  <si>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Installment Plan,
Payment Plan Duration:,	Daily,
Payment Plan Start Date:,	
4. Payment Plan,1 Daily payment of $</t>
  </si>
  <si>
    <t>Deferred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</si>
  <si>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Installment Plan,
Payment Plan Duration:,	Deferred,
Payment Plan Start Date:,	
4. Payment Plan,1 Deferred payment of $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</si>
  <si>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Recurring,
Payment Plan Duration:,	Deferred,
Payment Plan Start Date:,	
4. Payment Plan,1 Deferred payment of $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</si>
  <si>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Automatic Payment 
Payment Plan Start Date:,	
4. Payment Plan, Amount due will be paid 3 calendar days before the Due Date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</si>
  <si>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Name:,Vaddahun Corp,
First Name:,Imtiaz,
Last Name:,Ahmed,
Business Tax ID:,999999999,
Routing Number:,****4974,
Account Number:,****7002,
Billing Address:,1853 Mandan Terace,
Greenbelt, Maryland MD 20770,
Country:,UNITED STATES,
Account Type:,	Business Checking3. Payment Plan Information,
Payment Plan Type:,	Automatic Payment 
Payment Plan Start Date:,	
4. Payment Plan, Amount due will be paid 3 calendar days before the Due Date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</si>
  <si>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	,****8307,
Billing Address:,	1853 Mandan Terace,
Greenbelt, Maryland MD 20770,
Country:,	UNITED STATES,
Account Type:,	Personal Savings,
3. Payment Plan Information,
Payment Plan Type:,	Automatic Payment 
Payment Plan Start Date:,	
4. Payment Plan, Amount due will be paid 3 calendar days before the Due Date</t>
  </si>
  <si>
    <t>Tue Oct 14 16:46:22 IST 2025</t>
  </si>
  <si>
    <t>Wed Oct 15 00:04:17 IST 2025</t>
  </si>
  <si>
    <t>Payment Receipt,180RemittanceID:,Due Date,Payment Entry Date,Amount Due,Amount to Pay,ImtiazABPdoubleCFBills,EST,UDF1:,UDF2:,UDF3:,UDF4:,Fees,
Payment Method,Company Name:,First Name:,Last Name:,Routing Number:,Account Number:,Business Tax ID:,Billing Address:,Country:,Account Type:,</t>
  </si>
  <si>
    <t>Step 2: Select or Create a Payment Method,
Payment Type: *,
Business Checking,Save payment method for future use,
Nickname: *,	
Bank Account Information,
Company Name: *	,
First Name:,	
Last Name:,	
Business Tax ID:,	
Routing Number: *,	
Account Number: *,	
Confirm Account Number: *,Billing Address:,
Address Line 1: *,	
Address Line 2:,   	
Country: *,	
ZIP: *	,
City: ,  	
State :,   	
Address Line 1: *,	
Address Line 2:,   	
Country: *,	
ZIP: *	,
City: ,  	
State : ,  	
click here,</t>
  </si>
  <si>
    <t>Step 2: Select or Create a Payment Method
Payment Type: *,Personal Checking,Save payment method for future use,
Nickname: *	,
Bank Account Information,
First Name: *,	
Last Name: *,	
Routing Number: *,	
Account Number: *,	
Confirm Account Number: *,Billing Address:,
Address Line 1: *,	
Address Line 2:,   	
Country: *,	
ZIP: *	,
City: ,  	
State :,   	
Address Line 1: *,	
Address Line 2:,   	
Country: *,	
ZIP: *	,
City: ,  	
State : ,  	
click here</t>
  </si>
  <si>
    <t>Sun Oct 26 17:47:04 IST 2025</t>
  </si>
  <si>
    <t>Sun Oct 26 19:09:11 IST 2025</t>
  </si>
  <si>
    <t>Sun Oct 26 19:32:00 IST 2025</t>
  </si>
  <si>
    <t>Thu Oct 30 09:33:41 IST 2025</t>
  </si>
  <si>
    <t>Thu Oct 30 09:36:57 IST 2025</t>
  </si>
  <si>
    <t>Thu Oct 30 09:37:36 IST 2025</t>
  </si>
  <si>
    <t>Thu Oct 30 09:38:17 IST 2025</t>
  </si>
  <si>
    <t>Thu Oct 30 09:39:18 IST 2025</t>
  </si>
  <si>
    <t>Thu Oct 30 09:39:46 IST 2025</t>
  </si>
  <si>
    <t>Thu Oct 30 09:40:16 IST 2025</t>
  </si>
  <si>
    <t>Thu Oct 30 09:41:16 IST 2025</t>
  </si>
  <si>
    <t>Thu Oct 30 09:41:46 IST 2025</t>
  </si>
  <si>
    <t>Thu Oct 30 09:42:15 IST 2025</t>
  </si>
  <si>
    <t>Thu Oct 30 10:15:13 IST 2025</t>
  </si>
  <si>
    <t>Thu Oct 30 10:26:22 IST 2025</t>
  </si>
  <si>
    <t>Thu Oct 30 10:35:30 IST 2025</t>
  </si>
  <si>
    <t>Thu Oct 30 10:38:03 IST 2025</t>
  </si>
  <si>
    <t>Thu Oct 30 10:47:10 IST 2025</t>
  </si>
  <si>
    <t>Thu Oct 30 10:50:15 IST 2025</t>
  </si>
  <si>
    <t>Thu Oct 30 10:50:45 IST 2025</t>
  </si>
  <si>
    <t>Thu Oct 30 10:51:12 IST 2025</t>
  </si>
  <si>
    <t>Thu Oct 30 10:58:28 IST 2025</t>
  </si>
  <si>
    <t>Thu Oct 30 10:58:57 IST 2025</t>
  </si>
  <si>
    <t>Thu Oct 30 10:59:26 IST 2025</t>
  </si>
  <si>
    <t>Fri Oct 31 15:15:33 IST 2025</t>
  </si>
  <si>
    <t>Fri Oct 31 16:14:05 IST 2025</t>
  </si>
  <si>
    <t>Fri Oct 31 16:22:36 IST 2025</t>
  </si>
  <si>
    <t>Fri Oct 31 20:56:26 IST 2025</t>
  </si>
  <si>
    <t>Mon Nov 03 22:19:53 IST 2025</t>
  </si>
  <si>
    <t>Mon Nov 03 22:43:14 IST 2025</t>
  </si>
  <si>
    <t>Wed Nov 12 21:41:42 IST 2025</t>
  </si>
  <si>
    <t>Thu Nov 13 21:13:29 IST 2025</t>
  </si>
  <si>
    <t>Thu Nov 13 21:20:10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</si>
  <si>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Recurring,
Payment Plan Duration:,	Daily,
Payment Plan Start Date:,	
4. Payment Plan, Daily payments of $</t>
  </si>
  <si>
    <t>Thu Nov 13 22:05:48 IST 2025</t>
  </si>
  <si>
    <t>Mon Nov 17 17:11:27 IST 2025</t>
  </si>
  <si>
    <t/>
  </si>
  <si>
    <t>Mon Nov 17 18:54:39 IST 2025</t>
  </si>
  <si>
    <t>Mon Nov 17 22:35:37 IST 2025</t>
  </si>
  <si>
    <t>Mon Nov 17 22:36:54 IST 2025</t>
  </si>
  <si>
    <t>Mon Nov 17 22:38:01 IST 2025</t>
  </si>
  <si>
    <t>Mon Nov 17 22:53:43 IST 2025</t>
  </si>
  <si>
    <t>Mon Nov 17 22:55:01 IST 2025</t>
  </si>
  <si>
    <t>Mon Nov 17 22:56:05 IST 2025</t>
  </si>
  <si>
    <t>Wed Dec 17 12:14:37 IST 2025</t>
  </si>
  <si>
    <t>Fri Dec 26 19:17:23 IST 2025</t>
  </si>
  <si>
    <t>Fri Dec 26 19:18:35 IST 2025</t>
  </si>
  <si>
    <t>Fri Dec 26 19:19:48 IST 2025</t>
  </si>
  <si>
    <t>Fri Dec 26 19:22:13 IST 2025</t>
  </si>
  <si>
    <t>Fri Dec 26 19:22:55 IST 2025</t>
  </si>
  <si>
    <t>Fri Dec 26 19:23:32 IST 2025</t>
  </si>
  <si>
    <t>Fri Dec 26 19:24:46 IST 2025</t>
  </si>
  <si>
    <t>Fri Dec 26 19:25:21 IST 2025</t>
  </si>
  <si>
    <t>Fri Dec 26 19:25:56 IST 2025</t>
  </si>
  <si>
    <t>Fri Dec 26 19:27:16 IST 2025</t>
  </si>
  <si>
    <t>Fri Dec 26 19:27:54 IST 2025</t>
  </si>
  <si>
    <t>Fri Dec 26 19:28:35 IST 2025</t>
  </si>
  <si>
    <t>Fri Dec 26 19:47:08 IST 2025</t>
  </si>
  <si>
    <t>Fri Dec 26 19:47:42 IST 2025</t>
  </si>
  <si>
    <t>Fri Dec 26 19:50:20 IST 2025</t>
  </si>
  <si>
    <t>Fri Dec 26 19:52:56 IST 2025</t>
  </si>
  <si>
    <t>Fri Dec 26 19:53:32 IST 2025</t>
  </si>
  <si>
    <t>Fri Dec 26 19:56:26 IST 2025</t>
  </si>
  <si>
    <t>Fri Dec 26 19:59:06 IST 2025</t>
  </si>
  <si>
    <t>Fri Dec 26 19:59:45 IST 2025</t>
  </si>
  <si>
    <t>Fri Dec 26 20:02:25 IST 2025</t>
  </si>
  <si>
    <t>Fri Dec 26 20:06:07 IST 2025</t>
  </si>
  <si>
    <t>Fri Dec 26 20:06:40 IST 2025</t>
  </si>
  <si>
    <t>Fri Dec 26 20:07:17 IST 2025</t>
  </si>
  <si>
    <t>Fri Dec 26 20:15:07 IST 2025</t>
  </si>
  <si>
    <t>Fri Dec 26 20:15:40 IST 2025</t>
  </si>
  <si>
    <t>Fri Dec 26 20:16:13 IST 2025</t>
  </si>
  <si>
    <t>Fri Dec 26 20:28:43 IST 2025</t>
  </si>
  <si>
    <t>Fri Dec 26 20:30:25 IST 2025</t>
  </si>
  <si>
    <t>Fri Dec 26 20:40:16 IST 2025</t>
  </si>
  <si>
    <t>Fri Dec 26 20:41:28 IST 2025</t>
  </si>
  <si>
    <t>Fri Dec 26 20:43:01 IST 2025</t>
  </si>
  <si>
    <t>Fri Dec 26 20:44:37 IST 2025</t>
  </si>
  <si>
    <t>Fri Dec 26 20:47:06 IST 2025</t>
  </si>
  <si>
    <t>Fri Dec 26 20:48:31 IST 2025</t>
  </si>
  <si>
    <t>Fri Dec 26 21:39:25 IST 2025</t>
  </si>
  <si>
    <t>Fri Dec 26 21:40:27 IST 2025</t>
  </si>
  <si>
    <t>Fri Dec 26 21:41:25 IST 2025</t>
  </si>
  <si>
    <t>Fri Dec 26 23:23:38 IST 2025</t>
  </si>
  <si>
    <t>Wed Jan 07 20:07:13 IST 2026</t>
  </si>
  <si>
    <t>Wed Jan 07 20:09:49 IST 2026</t>
  </si>
  <si>
    <t>Thu Jan 08 21:27:46 IST 2026</t>
  </si>
  <si>
    <t>Thu Jan 08 21:35:13 IST 2026</t>
  </si>
  <si>
    <t>Thu Jan 08 21:58:26 IST 2026</t>
  </si>
  <si>
    <t>Thu Jan 08 21:58:42 IST 2026</t>
  </si>
  <si>
    <t>Thu Jan 08 22:09:44 IST 2026</t>
  </si>
  <si>
    <t>Thu Jan 08 22:17:21 IST 2026</t>
  </si>
  <si>
    <t>Thu Jan 08 22:20:53 IST 2026</t>
  </si>
  <si>
    <t>Thu Jan 08 22:23:34 IST 2026</t>
  </si>
  <si>
    <t>Thu Jan 08 22:25:59 IST 2026</t>
  </si>
  <si>
    <t>Thu Jan 08 22:27:31 IST 2026</t>
  </si>
  <si>
    <t>Thu Jan 08 22:29:10 IST 2026</t>
  </si>
  <si>
    <t>Fri Jan 09 17:04:56 IST 2026</t>
  </si>
  <si>
    <t>Fri Jan 09 18:17:46 IST 2026</t>
  </si>
  <si>
    <t>Fri Jan 09 18:18:47 IST 2026</t>
  </si>
  <si>
    <t>Fri Jan 09 18:19:48 IST 2026</t>
  </si>
  <si>
    <t>Mon Jan 12 22:13:10 IST 2026</t>
  </si>
  <si>
    <t>Tue Mar 10 00:58:30 IST 2026</t>
  </si>
  <si>
    <t>Tue Mar 10 00:59:39 IST 2026</t>
  </si>
  <si>
    <t>Tue Mar 10 01:00:52 IST 2026</t>
  </si>
  <si>
    <t>Tue Mar 10 01:03:31 IST 2026</t>
  </si>
  <si>
    <t>Tue Mar 10 01:04:12 IST 2026</t>
  </si>
  <si>
    <t>Tue Mar 10 01:04:52 IST 2026</t>
  </si>
  <si>
    <t>Tue Mar 10 01:06:16 IST 2026</t>
  </si>
  <si>
    <t>Tue Mar 10 01:06:57 IST 2026</t>
  </si>
  <si>
    <t>Tue Mar 10 01:07:29 IST 2026</t>
  </si>
  <si>
    <t>Tue Mar 10 01:08:52 IST 2026</t>
  </si>
  <si>
    <t>Tue Mar 10 01:09:35 IST 2026</t>
  </si>
  <si>
    <t>Tue Mar 10 01:10:11 IST 2026</t>
  </si>
  <si>
    <t>Tue Mar 10 01:44:15 IST 2026</t>
  </si>
  <si>
    <t>Tue Mar 10 01:44:44 IST 2026</t>
  </si>
  <si>
    <t>Tue Mar 10 01:52:45 IST 2026</t>
  </si>
  <si>
    <t>Tue Mar 10 01:55:32 IST 2026</t>
  </si>
  <si>
    <t>Tue Mar 10 01:56:06 IST 2026</t>
  </si>
  <si>
    <t>Tue Mar 10 02:04:39 IST 2026</t>
  </si>
  <si>
    <t>Tue Mar 10 02:07:15 IST 2026</t>
  </si>
  <si>
    <t>Tue Mar 10 02:07:50 IST 2026</t>
  </si>
  <si>
    <t>Tue Mar 10 02:16:20 IST 2026</t>
  </si>
  <si>
    <t>Tue Mar 10 02:20:07 IST 2026</t>
  </si>
  <si>
    <t>Tue Mar 10 02:20:35 IST 2026</t>
  </si>
  <si>
    <t>Tue Mar 10 02:21:11 IST 2026</t>
  </si>
  <si>
    <t>Tue Mar 10 02:29:25 IST 2026</t>
  </si>
  <si>
    <t>Tue Mar 10 02:29:59 IST 2026</t>
  </si>
  <si>
    <t>Tue Mar 10 02:30:29 IST 2026</t>
  </si>
  <si>
    <t>Tue Mar 10 02:42:12 IST 2026</t>
  </si>
  <si>
    <t>Tue Mar 10 02:43:48 IST 2026</t>
  </si>
  <si>
    <t>Tue Mar 10 02:52:57 IST 2026</t>
  </si>
  <si>
    <t>Tue Mar 10 02:53:55 IST 2026</t>
  </si>
  <si>
    <t>Tue Mar 10 02:55:21 IST 2026</t>
  </si>
  <si>
    <t>Tue Mar 10 02:56:49 IST 2026</t>
  </si>
  <si>
    <t>Tue Mar 10 02:58:18 IST 2026</t>
  </si>
  <si>
    <t>Tue Mar 10 02:59:47 IST 2026</t>
  </si>
  <si>
    <t>Tue Mar 10 04:05:56 IST 2026</t>
  </si>
  <si>
    <t>Tue Mar 10 04:06:51 IST 2026</t>
  </si>
  <si>
    <t>Tue Mar 10 04:07:45 IST 2026</t>
  </si>
  <si>
    <t>Tue Mar 10 21:12:21 IST 2026</t>
  </si>
  <si>
    <t>Tue Mar 10 21:18:38 IST 2026</t>
  </si>
  <si>
    <t>Tue Mar 10 22:43:48 IST 2026</t>
  </si>
  <si>
    <t>Tue Mar 10 23:08:58 IST 2026</t>
  </si>
  <si>
    <t>Wed Mar 11 00:25:58 IST 2026</t>
  </si>
  <si>
    <t>Wed Mar 11 00:27:06 IST 2026</t>
  </si>
  <si>
    <t>Wed Mar 11 00:28:09 IST 2026</t>
  </si>
  <si>
    <t>Thu Mar 12 21:04:26 IST 2026</t>
  </si>
  <si>
    <t>Thu Mar 12 21:16:08 IST 2026</t>
  </si>
  <si>
    <t>Thu Mar 12 21:19:26 IST 2026</t>
  </si>
  <si>
    <t>Fri Mar 13 00:09:23 IST 2026</t>
  </si>
  <si>
    <t>Fri Mar 13 00:16:10 IST 2026</t>
  </si>
  <si>
    <t>Tue Jun 02 10:06:58 IST 2026</t>
  </si>
  <si>
    <t>Tue Jun 02 10:08:08 IST 2026</t>
  </si>
  <si>
    <t>Tue Jun 02 10:09:30 IST 2026</t>
  </si>
  <si>
    <t>Tue Jun 02 10:11:45 IST 2026</t>
  </si>
  <si>
    <t>Tue Jun 02 10:12:21 IST 2026</t>
  </si>
  <si>
    <t>Tue Jun 02 10:12:58 IST 2026</t>
  </si>
  <si>
    <t>Tue Jun 02 10:14:16 IST 2026</t>
  </si>
  <si>
    <t>Tue Jun 02 10:14:57 IST 2026</t>
  </si>
  <si>
    <t>Tue Jun 02 10:15:34 IST 2026</t>
  </si>
  <si>
    <t>Tue Jun 02 10:16:53 IST 2026</t>
  </si>
  <si>
    <t>Tue Jun 02 10:17:31 IST 2026</t>
  </si>
  <si>
    <t>Tue Jun 02 10:18:05 IST 2026</t>
  </si>
  <si>
    <t>Tue Jun 02 10:36:55 IST 2026</t>
  </si>
  <si>
    <t>Tue Jun 02 10:37:32 IST 2026</t>
  </si>
  <si>
    <t>Tue Jun 02 10:40:24 IST 2026</t>
  </si>
  <si>
    <t>Tue Jun 02 10:42:59 IST 2026</t>
  </si>
  <si>
    <t>Tue Jun 02 10:43:29 IST 2026</t>
  </si>
  <si>
    <t>Tue Jun 02 10:46:12 IST 2026</t>
  </si>
  <si>
    <t>Tue Jun 02 10:48:56 IST 2026</t>
  </si>
  <si>
    <t>Tue Jun 02 10:49:28 IST 2026</t>
  </si>
  <si>
    <t>Tue Jun 02 10:52:12 IST 2026</t>
  </si>
  <si>
    <t>Tue Jun 02 10:55:19 IST 2026</t>
  </si>
  <si>
    <t>Tue Jun 02 10:55:44 IST 2026</t>
  </si>
  <si>
    <t>Tue Jun 02 10:56:09 IST 2026</t>
  </si>
  <si>
    <t>Tue Jun 02 11:03:37 IST 2026</t>
  </si>
  <si>
    <t>Tue Jun 02 11:04:05 IST 2026</t>
  </si>
  <si>
    <t>Tue Jun 02 11:04:35 IST 2026</t>
  </si>
  <si>
    <t>Tue Jun 02 11:15:58 IST 2026</t>
  </si>
  <si>
    <t>Tue Jun 02 11:17:33 IST 2026</t>
  </si>
  <si>
    <t>Tue Jun 02 11:26:43 IST 2026</t>
  </si>
  <si>
    <t>Tue Jun 02 11:27:49 IST 2026</t>
  </si>
  <si>
    <t>Tue Jun 02 11:29:17 IST 2026</t>
  </si>
  <si>
    <t>Tue Jun 02 11:31:44 IST 2026</t>
  </si>
  <si>
    <t>Tue Jun 02 11:34:13 IST 2026</t>
  </si>
  <si>
    <t>Tue Jun 02 11:35:43 IST 2026</t>
  </si>
  <si>
    <t>Tue Jun 02 12:25:10 IST 2026</t>
  </si>
  <si>
    <t>Tue Jun 02 12:26:04 IST 2026</t>
  </si>
  <si>
    <t>Tue Jun 02 12:26:55 IST 2026</t>
  </si>
  <si>
    <t>Fri Jun 05 18:54:11 IST 2026</t>
  </si>
  <si>
    <t>Fri Jun 05 19:00:50 IST 2026</t>
  </si>
  <si>
    <t>Fri Jun 05 20:07:50 IST 2026</t>
  </si>
  <si>
    <t>Fri Jun 05 20:10:45 IST 2026</t>
  </si>
  <si>
    <t>Fri Jun 05 22:19:39 IST 2026</t>
  </si>
  <si>
    <t>Fri Jun 05 22:20:52 IST 2026</t>
  </si>
  <si>
    <t>Fri Jun 05 22:21:58 IST 2026</t>
  </si>
  <si>
    <t>Thu Jun 18 23:18:37 IST 2026</t>
  </si>
  <si>
    <t>Thu Jun 18 23:19:45 IST 2026</t>
  </si>
  <si>
    <t>Thu Jun 18 23:20:54 IST 2026</t>
  </si>
  <si>
    <t>Thu Jun 18 23:30:26 IST 2026</t>
  </si>
  <si>
    <t>Thu Jun 18 23:38:32 IST 2026</t>
  </si>
  <si>
    <t>Thu Jun 18 23:47:11 IST 2026</t>
  </si>
  <si>
    <t>Fri Jun 19 00:38:30 IST 2026</t>
  </si>
  <si>
    <t>Fri Jun 19 00:39:44 IST 2026</t>
  </si>
  <si>
    <t>Fri Jun 19 00:40:58 IST 2026</t>
  </si>
  <si>
    <t>Fri Jun 19 00:43:33 IST 2026</t>
  </si>
  <si>
    <t>Fri Jun 19 00:44:11 IST 2026</t>
  </si>
  <si>
    <t>Fri Jun 19 00:44:58 IST 2026</t>
  </si>
  <si>
    <t>Fri Jun 19 00:46:24 IST 2026</t>
  </si>
  <si>
    <t>Fri Jun 19 00:47:03 IST 2026</t>
  </si>
  <si>
    <t>Fri Jun 19 00:47:49 IST 2026</t>
  </si>
  <si>
    <t>Fri Jun 19 00:49:10 IST 2026</t>
  </si>
  <si>
    <t>Fri Jun 19 00:49:55 IST 2026</t>
  </si>
  <si>
    <t>Fri Jun 19 00:50:36 IST 2026</t>
  </si>
  <si>
    <t>Fri Jun 19 01:10:37 IST 2026</t>
  </si>
  <si>
    <t>Fri Jun 19 01:11:16 IST 2026</t>
  </si>
  <si>
    <t>Fri Jun 19 01:13:56 IST 2026</t>
  </si>
  <si>
    <t>Fri Jun 19 01:16:49 IST 2026</t>
  </si>
  <si>
    <t>Fri Jun 19 01:17:42 IST 2026</t>
  </si>
  <si>
    <t>Fri Jun 19 01:20:41 IST 2026</t>
  </si>
  <si>
    <t>Fri Jun 19 01:23:39 IST 2026</t>
  </si>
  <si>
    <t>Fri Jun 19 01:24:27 IST 2026</t>
  </si>
  <si>
    <t>Fri Jun 19 01:27:22 IST 2026</t>
  </si>
  <si>
    <t>Fri Jun 19 01:30:52 IST 2026</t>
  </si>
  <si>
    <t>Fri Jun 19 01:31:28 IST 2026</t>
  </si>
  <si>
    <t>Fri Jun 19 01:32:07 IST 2026</t>
  </si>
  <si>
    <t>Fri Jun 19 01:40:28 IST 2026</t>
  </si>
  <si>
    <t>Fri Jun 19 01:41:02 IST 2026</t>
  </si>
  <si>
    <t>Fri Jun 19 01:41:37 IST 2026</t>
  </si>
  <si>
    <t>Fri Jun 19 01:59:49 IST 2026</t>
  </si>
  <si>
    <t>Fri Jun 19 02:01:35 IST 2026</t>
  </si>
  <si>
    <t>Fri Jun 19 02:12:38 IST 2026</t>
  </si>
  <si>
    <t>Fri Jun 19 02:13:53 IST 2026</t>
  </si>
  <si>
    <t>Fri Jun 19 02:15:30 IST 2026</t>
  </si>
  <si>
    <t>Fri Jun 19 02:17:04 IST 2026</t>
  </si>
  <si>
    <t>Fri Jun 19 02:18:39 IST 2026</t>
  </si>
  <si>
    <t>Fri Jun 19 02:20:17 IST 2026</t>
  </si>
  <si>
    <t>Fri Jun 19 03:14:58 IST 2026</t>
  </si>
  <si>
    <t>Fri Jun 19 03:15:59 IST 2026</t>
  </si>
  <si>
    <t>Fri Jun 19 03:17:01 IST 2026</t>
  </si>
  <si>
    <t>Fri Jun 19 11:18:46 IST 2026</t>
  </si>
  <si>
    <t>Fri Jun 19 12:21:18 IST 2026</t>
  </si>
  <si>
    <t>Fri Jun 19 12:22:57 IST 2026</t>
  </si>
  <si>
    <t>Fri Jun 19 12:24:47 IST 2026</t>
  </si>
  <si>
    <t>Fri Jun 19 12:27:21 IST 2026</t>
  </si>
  <si>
    <t>Fri Jun 19 12:33:10 IST 2026</t>
  </si>
  <si>
    <t>Thu Jul 02 23:14:24 IST 2026</t>
  </si>
  <si>
    <t>Fri Jul 03 00:56:20 IST 2026</t>
  </si>
  <si>
    <t>Thu Aug 06 10:36:13 IST 2026</t>
  </si>
  <si>
    <t>Thu Aug 06 10:37:14 IST 2026</t>
  </si>
  <si>
    <t>Thu Aug 06 10:38:14 IST 2026</t>
  </si>
  <si>
    <t>Thu Aug 06 10:40:24 IST 2026</t>
  </si>
  <si>
    <t>Thu Aug 06 10:41:00 IST 2026</t>
  </si>
  <si>
    <t>Thu Aug 06 10:41:37 IST 2026</t>
  </si>
  <si>
    <t>Thu Aug 06 10:42:38 IST 2026</t>
  </si>
  <si>
    <t>Thu Aug 06 10:43:06 IST 2026</t>
  </si>
  <si>
    <t>Thu Aug 06 10:43:37 IST 2026</t>
  </si>
  <si>
    <t>Thu Aug 06 10:44:40 IST 2026</t>
  </si>
  <si>
    <t>Thu Aug 06 10:45:16 IST 2026</t>
  </si>
  <si>
    <t>Thu Aug 06 10:45:50 IST 2026</t>
  </si>
  <si>
    <t>Thu Aug 06 11:04:21 IST 2026</t>
  </si>
  <si>
    <t>Thu Aug 06 11:04:54 IST 2026</t>
  </si>
  <si>
    <t>Thu Aug 06 11:07:38 IST 2026</t>
  </si>
  <si>
    <t>Thu Aug 06 11:10:12 IST 2026</t>
  </si>
  <si>
    <t>Thu Aug 06 11:10:47 IST 2026</t>
  </si>
  <si>
    <t>Thu Aug 06 11:13:34 IST 2026</t>
  </si>
  <si>
    <t>Thu Aug 06 11:16:17 IST 2026</t>
  </si>
  <si>
    <t>Thu Aug 06 11:16:54 IST 2026</t>
  </si>
  <si>
    <t>Thu Aug 06 11:19:40 IST 2026</t>
  </si>
  <si>
    <t>Thu Aug 06 11:23:33 IST 2026</t>
  </si>
  <si>
    <t>Thu Aug 06 11:24:05 IST 2026</t>
  </si>
  <si>
    <t>Thu Aug 06 11:24:43 IST 2026</t>
  </si>
  <si>
    <t>Sat Aug 08 00:17:24 IST 2026</t>
  </si>
  <si>
    <t>Sat Aug 08 00:18:20 IST 2026</t>
  </si>
  <si>
    <t>Sat Aug 08 00:19:18 IST 2026</t>
  </si>
  <si>
    <t>Sat Aug 08 00:21:37 IST 2026</t>
  </si>
  <si>
    <t>Sat Aug 08 00:22:05 IST 2026</t>
  </si>
  <si>
    <t>Sat Aug 08 00:22:33 IST 2026</t>
  </si>
  <si>
    <t>Sat Aug 08 00:23:36 IST 2026</t>
  </si>
  <si>
    <t>Sat Aug 08 00:24:04 IST 2026</t>
  </si>
  <si>
    <t>Sat Aug 08 00:24:29 IST 2026</t>
  </si>
  <si>
    <t>Sat Aug 08 00:25:25 IST 2026</t>
  </si>
  <si>
    <t>Sat Aug 08 00:25:54 IST 2026</t>
  </si>
  <si>
    <t>Sat Aug 08 00:26:26 IST 2026</t>
  </si>
  <si>
    <t>Sat Aug 08 00:44:22 IST 2026</t>
  </si>
  <si>
    <t>Sat Aug 08 00:44:50 IST 2026</t>
  </si>
  <si>
    <t>Sat Aug 08 00:47:22 IST 2026</t>
  </si>
  <si>
    <t>Sat Aug 08 00:49:57 IST 2026</t>
  </si>
  <si>
    <t>Sat Aug 08 00:50:27 IST 2026</t>
  </si>
  <si>
    <t>Sat Aug 08 00:53:07 IST 2026</t>
  </si>
  <si>
    <t>Sat Aug 08 00:55:48 IST 2026</t>
  </si>
  <si>
    <t>Sat Aug 08 00:56:17 IST 2026</t>
  </si>
  <si>
    <t>Sat Aug 08 00:58:46 IST 2026</t>
  </si>
  <si>
    <t>Sat Aug 08 01:02:24 IST 2026</t>
  </si>
  <si>
    <t>Sat Aug 08 01:02:48 IST 2026</t>
  </si>
  <si>
    <t>Sat Aug 08 01:03:12 IST 2026</t>
  </si>
  <si>
    <t>Sat Aug 08 19:30:46 IST 2026</t>
  </si>
  <si>
    <t>Sat Aug 08 19:31:14 IST 2026</t>
  </si>
  <si>
    <t>Sat Aug 08 19:31:44 IST 2026</t>
  </si>
  <si>
    <t>Sat Aug 08 19:41:21 IST 2026</t>
  </si>
  <si>
    <t>Sat Aug 08 19:42:49 IST 2026</t>
  </si>
  <si>
    <t>Sat Aug 08 19:52:27 IST 2026</t>
  </si>
  <si>
    <t>Sat Aug 08 19:53:24 IST 2026</t>
  </si>
  <si>
    <t>Sat Aug 08 19:55:53 IST 2026</t>
  </si>
  <si>
    <t>Sat Aug 08 19:57:16 IST 2026</t>
  </si>
  <si>
    <t>Sat Aug 08 19:58:43 IST 2026</t>
  </si>
  <si>
    <t>Sat Aug 08 19:59:56 IST 2026</t>
  </si>
  <si>
    <t>Sat Aug 08 20:42:41 IST 2026</t>
  </si>
  <si>
    <t>Sat Aug 08 20:43:39 IST 2026</t>
  </si>
  <si>
    <t>Sat Aug 08 20:44:36 IST 2026</t>
  </si>
  <si>
    <t>Fri Aug 14 22:14:19 IST 2026</t>
  </si>
  <si>
    <t>Fri Aug 14 22:15:09 IST 2026</t>
  </si>
  <si>
    <t>Fri Aug 14 22:16:07 IST 2026</t>
  </si>
  <si>
    <t>Fri Aug 14 22:18:05 IST 2026</t>
  </si>
  <si>
    <t>Fri Aug 14 22:18:35 IST 2026</t>
  </si>
  <si>
    <t>Fri Aug 14 22:19:09 IST 2026</t>
  </si>
  <si>
    <t>Fri Aug 14 22:20:04 IST 2026</t>
  </si>
  <si>
    <t>Fri Aug 14 22:20:31 IST 2026</t>
  </si>
  <si>
    <t>Fri Aug 14 22:20:57 IST 2026</t>
  </si>
  <si>
    <t>Fri Aug 14 22:21:52 IST 2026</t>
  </si>
  <si>
    <t>Fri Aug 14 22:22:19 IST 2026</t>
  </si>
  <si>
    <t>Fri Aug 14 22:22:47 IST 2026</t>
  </si>
  <si>
    <t>Fri Aug 14 22:40:56 IST 2026</t>
  </si>
  <si>
    <t>Fri Aug 14 22:41:22 IST 2026</t>
  </si>
  <si>
    <t>Fri Aug 14 22:43:57 IST 2026</t>
  </si>
  <si>
    <t>Fri Aug 14 22:46:27 IST 2026</t>
  </si>
  <si>
    <t>Fri Aug 14 22:46:54 IST 2026</t>
  </si>
  <si>
    <t>Fri Aug 14 22:49:32 IST 2026</t>
  </si>
  <si>
    <t>Fri Aug 14 22:52:12 IST 2026</t>
  </si>
  <si>
    <t>Fri Aug 14 22:52:41 IST 2026</t>
  </si>
  <si>
    <t>Fri Aug 14 22:55:21 IST 2026</t>
  </si>
  <si>
    <t>Fri Aug 14 22:59:02 IST 2026</t>
  </si>
  <si>
    <t>Fri Aug 14 22:59:27 IST 2026</t>
  </si>
  <si>
    <t>Fri Aug 14 22:59:53 IST 2026</t>
  </si>
  <si>
    <t>Sat Aug 15 00:44:09 IST 2026</t>
  </si>
  <si>
    <t>Sat Aug 15 00:44:35 IST 2026</t>
  </si>
  <si>
    <t>Sat Aug 15 00:45:02 IST 2026</t>
  </si>
  <si>
    <t>Sat Aug 15 00:53:59 IST 2026</t>
  </si>
  <si>
    <t>Sat Aug 15 00:55:33 IST 2026</t>
  </si>
  <si>
    <t>Sat Aug 15 01:03:00 IST 2026</t>
  </si>
  <si>
    <t>Sat Aug 15 01:03:49 IST 2026</t>
  </si>
  <si>
    <t>Sat Aug 15 01:05:10 IST 2026</t>
  </si>
  <si>
    <t>Sat Aug 15 01:06:22 IST 2026</t>
  </si>
  <si>
    <t>Sat Aug 15 01:07:50 IST 2026</t>
  </si>
  <si>
    <t>Sat Aug 15 01:09:08 IST 2026</t>
  </si>
  <si>
    <t>Sat Aug 15 01:48:56 IST 2026</t>
  </si>
  <si>
    <t>Sat Aug 15 01:49:47 IST 2026</t>
  </si>
  <si>
    <t>Sat Aug 15 01:50:37 IST 2026</t>
  </si>
  <si>
    <t>Thu Sep 17 23:17:35 IST 2026</t>
  </si>
  <si>
    <t>Thu Sep 17 23:18:28 IST 2026</t>
  </si>
  <si>
    <t>Thu Sep 17 23:19:34 IST 2026</t>
  </si>
  <si>
    <t>Thu Sep 17 23:21:39 IST 2026</t>
  </si>
  <si>
    <t>Thu Sep 17 23:22:10 IST 2026</t>
  </si>
  <si>
    <t>Thu Sep 17 23:22:43 IST 2026</t>
  </si>
  <si>
    <t>Thu Sep 17 23:23:50 IST 2026</t>
  </si>
  <si>
    <t>Thu Sep 17 23:24:21 IST 2026</t>
  </si>
  <si>
    <t>Thu Sep 17 23:24:50 IST 2026</t>
  </si>
  <si>
    <t>Thu Sep 17 23:25:53 IST 2026</t>
  </si>
  <si>
    <t>Thu Sep 17 23:26:25 IST 2026</t>
  </si>
  <si>
    <t>Thu Sep 17 23:26:57 IST 2026</t>
  </si>
  <si>
    <t>Thu Sep 17 23:40:34 IST 2026</t>
  </si>
  <si>
    <t>Thu Sep 17 23:41:10 IST 2026</t>
  </si>
  <si>
    <t>Thu Sep 17 23:42:14 IST 2026</t>
  </si>
  <si>
    <t>Thu Sep 17 23:44:54 IST 2026</t>
  </si>
  <si>
    <t>Thu Sep 17 23:45:24 IST 2026</t>
  </si>
  <si>
    <t>Thu Sep 17 23:46:31 IST 2026</t>
  </si>
  <si>
    <t>Thu Sep 17 23:49:15 IST 2026</t>
  </si>
  <si>
    <t>Thu Sep 17 23:49:50 IST 2026</t>
  </si>
  <si>
    <t>Thu Sep 17 23:50:54 IST 2026</t>
  </si>
  <si>
    <t>Thu Sep 17 23:54:45 IST 2026</t>
  </si>
  <si>
    <t>Thu Sep 17 23:55:15 IST 2026</t>
  </si>
  <si>
    <t>Thu Sep 17 23:55:44 IST 2026</t>
  </si>
  <si>
    <t>Fri Sep 18 00:59:55 IST 2026</t>
  </si>
  <si>
    <t>Fri Sep 18 01:00:40 IST 2026</t>
  </si>
  <si>
    <t>Fri Sep 18 01:01:18 IST 2026</t>
  </si>
  <si>
    <t>Fri Sep 18 01:08:29 IST 2026</t>
  </si>
  <si>
    <t>Fri Sep 18 01:10:02 IST 2026</t>
  </si>
  <si>
    <t>Fri Sep 18 01:18:54 IST 2026</t>
  </si>
  <si>
    <t>Fri Sep 18 01:20:04 IST 2026</t>
  </si>
  <si>
    <t>Fri Sep 18 01:21:28 IST 2026</t>
  </si>
  <si>
    <t>Fri Sep 18 01:22:58 IST 2026</t>
  </si>
  <si>
    <t>Fri Sep 18 01:24:27 IST 2026</t>
  </si>
  <si>
    <t>Fri Sep 18 01:25:48 IST 2026</t>
  </si>
  <si>
    <t>Fri Sep 18 02:23:22 IST 2026</t>
  </si>
  <si>
    <t>Fri Sep 18 02:24:19 IST 2026</t>
  </si>
  <si>
    <t>Fri Sep 18 02:25:16 IST 2026</t>
  </si>
  <si>
    <t>Tue Sep 22 20:16:15 IST 2026</t>
  </si>
  <si>
    <t>Tue Sep 22 23:28:40 IST 2026</t>
  </si>
  <si>
    <t>Wed Sep 23 22:40:45 IST 2026</t>
  </si>
  <si>
    <t>Thu Sep 24 17:56:23 IST 2026</t>
  </si>
  <si>
    <t>Thu Sep 24 17:59:23 IST 2026</t>
  </si>
  <si>
    <t>Thu Sep 24 18:36:20 IST 2026</t>
  </si>
  <si>
    <t>Thu Sep 24 18:40:14 IST 2026</t>
  </si>
  <si>
    <t>Thu Sep 24 18:42:51 IST 2026</t>
  </si>
  <si>
    <t>Thu Sep 24 18:46:04 IST 2026</t>
  </si>
  <si>
    <t>Thu Sep 24 18:48:16 IST 2026</t>
  </si>
  <si>
    <t>Fri Sep 25 17:03:44 IST 2026</t>
  </si>
  <si>
    <t>Fri Sep 25 17:04:43 IST 2026</t>
  </si>
  <si>
    <t>Fri Sep 25 17:05:47 IST 2026</t>
  </si>
  <si>
    <t>Fri Sep 25 18:49:07 IST 2026</t>
  </si>
  <si>
    <t>Fri Sep 25 18:58:35 IST 2026</t>
  </si>
  <si>
    <t>Fri Sep 25 20:26:38 IST 2026</t>
  </si>
  <si>
    <t>Fri Sep 25 20:27:35 IST 2026</t>
  </si>
  <si>
    <t>Fri Sep 25 20:28:34 IST 2026</t>
  </si>
  <si>
    <t>Fri Sep 25 20:32:23 IST 2026</t>
  </si>
  <si>
    <t>Fri Sep 25 20:33:31 IST 2026</t>
  </si>
  <si>
    <t>Fri Sep 25 20:34:33 IST 2026</t>
  </si>
  <si>
    <t>Thu Oct 08 01:42:16 IST 2026</t>
  </si>
  <si>
    <t>Thu Oct 08 01:43:12 IST 2026</t>
  </si>
  <si>
    <t>Thu Oct 08 01:44:09 IST 2026</t>
  </si>
  <si>
    <t>Thu Oct 08 01:45:04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</si>
</sst>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borderId="0" fillId="0" fontId="0" numFmtId="0"/>
  </cellStyleXfs>
  <cellXfs count="20">
    <xf borderId="0" fillId="0" fontId="0" numFmtId="0" xfId="0"/>
    <xf applyAlignment="1" applyBorder="1" applyNumberFormat="1" borderId="1" fillId="0" fontId="0" numFmtId="49" xfId="0">
      <alignment wrapText="1"/>
    </xf>
    <xf applyAlignment="1" applyBorder="1" applyFill="1" applyFont="1" borderId="1" fillId="2" fontId="1" numFmtId="0" xfId="0">
      <alignment vertical="center"/>
    </xf>
    <xf applyBorder="1" borderId="1" fillId="0" fontId="0" numFmtId="0" xfId="0"/>
    <xf applyAlignment="1" applyBorder="1" applyNumberFormat="1" borderId="2" fillId="0" fontId="0" numFmtId="49" xfId="0">
      <alignment wrapText="1"/>
    </xf>
    <xf applyBorder="1" applyNumberFormat="1" borderId="2" fillId="0" fontId="0" numFmtId="2" xfId="0"/>
    <xf applyAlignment="1" applyBorder="1" applyNumberFormat="1" borderId="2" fillId="0" fontId="0" numFmtId="2" xfId="0">
      <alignment wrapText="1"/>
    </xf>
    <xf applyAlignment="1" borderId="0" fillId="0" fontId="0" numFmtId="0" xfId="0">
      <alignment vertical="top" wrapText="1"/>
    </xf>
    <xf applyAlignment="1" applyBorder="1" applyNumberFormat="1" borderId="1" fillId="0" fontId="0" numFmtId="49" xfId="0">
      <alignment vertical="center" wrapText="1"/>
    </xf>
    <xf applyAlignment="1" applyBorder="1" borderId="1" fillId="0" fontId="0" numFmtId="0" xfId="0">
      <alignment vertical="center"/>
    </xf>
    <xf applyAlignment="1" applyBorder="1" applyNumberFormat="1" borderId="2" fillId="0" fontId="0" numFmtId="2" xfId="0">
      <alignment vertical="center"/>
    </xf>
    <xf applyAlignment="1" borderId="0" fillId="0" fontId="0" numFmtId="0" xfId="0">
      <alignment vertical="top"/>
    </xf>
    <xf applyAlignment="1" applyBorder="1" applyNumberFormat="1" borderId="1" fillId="0" fontId="0" numFmtId="49" xfId="0">
      <alignment vertical="top" wrapText="1"/>
    </xf>
    <xf applyAlignment="1" applyBorder="1" borderId="1" fillId="0" fontId="0" numFmtId="0" xfId="0">
      <alignment vertical="top"/>
    </xf>
    <xf applyAlignment="1" applyBorder="1" borderId="1" fillId="0" fontId="0" numFmtId="0" xfId="0">
      <alignment vertical="top" wrapText="1"/>
    </xf>
    <xf applyAlignment="1" applyFont="1" borderId="0" fillId="0" fontId="1" numFmtId="0" xfId="0">
      <alignment vertical="center"/>
    </xf>
    <xf applyAlignment="1" applyNumberFormat="1" borderId="0" fillId="0" fontId="0" numFmtId="164" xfId="0">
      <alignment vertical="top" wrapText="1"/>
    </xf>
    <xf applyAlignment="1" applyNumberFormat="1" borderId="0" fillId="0" fontId="0" numFmtId="2" xfId="0">
      <alignment vertical="top" wrapText="1"/>
    </xf>
    <xf applyAlignment="1" borderId="0" fillId="0" fontId="0" numFmtId="0" xfId="0">
      <alignment horizontal="center" vertical="top" wrapText="1"/>
    </xf>
    <xf applyAlignment="1" borderId="0" fillId="0" fontId="0" numFmtId="0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theme/theme1.xml" Type="http://schemas.openxmlformats.org/officeDocument/2006/relationships/theme"/><Relationship Id="rId41" Target="styles.xml" Type="http://schemas.openxmlformats.org/officeDocument/2006/relationships/styles"/><Relationship Id="rId42" Target="sharedStrings.xml" Type="http://schemas.openxmlformats.org/officeDocument/2006/relationships/sharedStrings"/><Relationship Id="rId43" Target="calcChain.xml" Type="http://schemas.openxmlformats.org/officeDocument/2006/relationships/calcChain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G8" sqref="G8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16</v>
      </c>
      <c r="B2" t="s" s="0">
        <v>434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  <pageSetup orientation="portrait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AFF7-515F-465B-94F7-1ECECB99CB8C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435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F0D9-E05F-45C5-8D9F-25228B1275D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433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3579-5DFF-4678-B07A-68B908946F3C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430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F56E-14AC-4995-9D06-ECEAEC4D782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432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D3B4-E6B2-45F0-8319-7F7FECCF3BD4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16</v>
      </c>
      <c r="B2" t="s" s="0">
        <v>453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01B4-BB5E-43A1-B36C-41C7E1286146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427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25BB-FBC4-4803-99D7-28B6A923E6A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429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28A0-6595-433A-95CB-C2AAB29F36D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454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9780-E031-48D5-B77A-C70DBD60E099}">
  <dimension ref="A1:L4"/>
  <sheetViews>
    <sheetView workbookViewId="0">
      <selection sqref="A1:L2"/>
    </sheetView>
  </sheetViews>
  <sheetFormatPr defaultRowHeight="14.5" x14ac:dyDescent="0.35"/>
  <sheetData>
    <row ht="29"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</row>
    <row r="2" spans="1:12" x14ac:dyDescent="0.35">
      <c r="A2" t="s" s="0">
        <v>10</v>
      </c>
      <c r="B2" t="s" s="0">
        <v>420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  <c r="K2" s="5">
        <v>5</v>
      </c>
      <c r="L2" s="5">
        <v>10</v>
      </c>
    </row>
    <row r="3" spans="1:12" x14ac:dyDescent="0.35">
      <c r="C3" s="3"/>
      <c r="D3" s="1"/>
      <c r="E3" s="3"/>
      <c r="F3" s="3"/>
      <c r="G3" s="3"/>
      <c r="H3" s="3"/>
      <c r="I3" s="3"/>
      <c r="J3" s="3"/>
    </row>
    <row r="4" spans="1:12" x14ac:dyDescent="0.35">
      <c r="C4" s="3"/>
      <c r="D4" s="1"/>
      <c r="E4" s="3"/>
      <c r="F4" s="3"/>
      <c r="G4" s="3"/>
      <c r="H4" s="3"/>
      <c r="I4" s="3"/>
      <c r="J4" s="3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CCD5-A824-46D1-8E03-288885AFD37A}">
  <dimension ref="A1:L2"/>
  <sheetViews>
    <sheetView workbookViewId="0">
      <selection activeCell="J12" sqref="J12"/>
    </sheetView>
  </sheetViews>
  <sheetFormatPr defaultRowHeight="14.5" x14ac:dyDescent="0.35"/>
  <sheetData>
    <row ht="29"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</row>
    <row r="2" spans="1:12" x14ac:dyDescent="0.35">
      <c r="A2" t="s" s="0">
        <v>10</v>
      </c>
      <c r="B2" t="s" s="0">
        <v>419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  <c r="K2" s="5">
        <v>5</v>
      </c>
      <c r="L2" s="5">
        <v>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BDF5-260D-4C88-9BE9-34D621669BA2}">
  <dimension ref="A1:L3"/>
  <sheetViews>
    <sheetView workbookViewId="0">
      <selection activeCell="D2" sqref="D2"/>
    </sheetView>
  </sheetViews>
  <sheetFormatPr defaultRowHeight="14.5" x14ac:dyDescent="0.35"/>
  <cols>
    <col min="12" max="12" customWidth="true" width="9.81640625" collapsed="true"/>
  </cols>
  <sheetData>
    <row ht="29"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</row>
    <row r="2" spans="1:12" x14ac:dyDescent="0.35">
      <c r="A2" t="s" s="0">
        <v>16</v>
      </c>
      <c r="B2" t="s" s="0">
        <v>62</v>
      </c>
      <c r="C2" s="3"/>
      <c r="D2" s="1" t="s">
        <v>19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  <c r="K2" s="5">
        <v>2</v>
      </c>
      <c r="L2" s="5">
        <v>10</v>
      </c>
    </row>
    <row r="3" spans="1:12" x14ac:dyDescent="0.35">
      <c r="A3" t="s" s="0">
        <v>10</v>
      </c>
      <c r="B3" t="s" s="0">
        <v>418</v>
      </c>
      <c r="D3" s="1" t="s">
        <v>11</v>
      </c>
      <c r="E3" s="1" t="s">
        <v>12</v>
      </c>
      <c r="F3" s="1" t="s">
        <v>13</v>
      </c>
      <c r="G3" s="3">
        <v>1</v>
      </c>
      <c r="H3" s="3">
        <v>3</v>
      </c>
      <c r="I3" s="3">
        <v>3</v>
      </c>
      <c r="J3" s="3">
        <v>6</v>
      </c>
      <c r="K3" s="5">
        <v>10</v>
      </c>
      <c r="L3" s="5">
        <v>10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992D-7881-48D0-9061-1E14905AC37D}">
  <dimension ref="A1:M3"/>
  <sheetViews>
    <sheetView topLeftCell="A2" workbookViewId="0">
      <selection activeCell="M3" sqref="M3"/>
    </sheetView>
  </sheetViews>
  <sheetFormatPr defaultRowHeight="14.5" x14ac:dyDescent="0.35"/>
  <cols>
    <col min="13" max="13" customWidth="true" width="28.36328125" collapsed="true"/>
  </cols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188.5" r="2" spans="1:13" x14ac:dyDescent="0.35">
      <c r="A2" t="s" s="0">
        <v>16</v>
      </c>
      <c r="B2" t="s" s="0">
        <v>61</v>
      </c>
      <c r="C2" s="3"/>
      <c r="D2" s="1" t="s">
        <v>19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  <c r="K2" s="5">
        <v>2</v>
      </c>
      <c r="L2" s="5">
        <v>10</v>
      </c>
      <c r="M2" s="6" t="s">
        <v>18</v>
      </c>
    </row>
    <row ht="188.5" r="3" spans="1:13" x14ac:dyDescent="0.35">
      <c r="A3" t="s" s="0">
        <v>10</v>
      </c>
      <c r="B3" t="s" s="0">
        <v>424</v>
      </c>
      <c r="D3" s="1" t="s">
        <v>11</v>
      </c>
      <c r="E3" s="1" t="s">
        <v>12</v>
      </c>
      <c r="F3" s="1" t="s">
        <v>13</v>
      </c>
      <c r="G3" s="3">
        <v>1</v>
      </c>
      <c r="H3" s="3">
        <v>3</v>
      </c>
      <c r="I3" s="3">
        <v>3</v>
      </c>
      <c r="J3" s="3">
        <v>6</v>
      </c>
      <c r="K3" s="5">
        <v>10</v>
      </c>
      <c r="L3" s="5">
        <v>10</v>
      </c>
      <c r="M3" s="6" t="s">
        <v>63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C968-58D8-4DD0-BC82-DF0CD0921B92}">
  <dimension ref="A1:M2"/>
  <sheetViews>
    <sheetView topLeftCell="A2" workbookViewId="0">
      <selection sqref="A1:M2"/>
    </sheetView>
  </sheetViews>
  <sheetFormatPr defaultRowHeight="14.5" x14ac:dyDescent="0.35"/>
  <cols>
    <col min="13" max="13" customWidth="true" width="17.1796875" collapsed="true"/>
  </cols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261" r="2" spans="1:13" x14ac:dyDescent="0.35">
      <c r="A2" t="s" s="0">
        <v>10</v>
      </c>
      <c r="B2" t="s" s="0">
        <v>426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81BF-ECA3-4B3E-BBE1-4117F8134390}">
  <dimension ref="A1:M2"/>
  <sheetViews>
    <sheetView workbookViewId="0">
      <selection activeCell="O2" sqref="O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409.5" r="2" spans="1:13" x14ac:dyDescent="0.35">
      <c r="A2" t="s" s="0">
        <v>10</v>
      </c>
      <c r="B2" t="s" s="0">
        <v>425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4D1B-9B45-4F14-94B4-232A04139A52}">
  <dimension ref="A1:M2"/>
  <sheetViews>
    <sheetView topLeftCell="A2" workbookViewId="0">
      <selection activeCell="N2" sqref="N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377" r="2" spans="1:13" x14ac:dyDescent="0.35">
      <c r="A2" t="s" s="0">
        <v>10</v>
      </c>
      <c r="B2" t="s" s="0">
        <v>422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E5F4-6DCB-4B74-965A-2A1B8749D9E8}">
  <dimension ref="A1:M2"/>
  <sheetViews>
    <sheetView topLeftCell="A2" workbookViewId="0">
      <selection activeCell="M2" sqref="M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377" r="2" spans="1:13" x14ac:dyDescent="0.35">
      <c r="A2" t="s" s="0">
        <v>10</v>
      </c>
      <c r="B2" t="s" s="0">
        <v>423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A1C1-EAD3-4FBD-9595-596BAA6EA611}">
  <dimension ref="A1:M2"/>
  <sheetViews>
    <sheetView workbookViewId="0">
      <selection activeCell="F2" sqref="F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409.5" r="2" spans="1:13" x14ac:dyDescent="0.35">
      <c r="A2" t="s" s="0">
        <v>10</v>
      </c>
      <c r="B2" t="s" s="0">
        <v>421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  <c r="K2" s="5">
        <v>2</v>
      </c>
      <c r="L2" s="5">
        <v>10</v>
      </c>
      <c r="M2" s="6" t="s">
        <v>21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D33A-2EC8-4BF6-B54B-4E680640D2E6}">
  <dimension ref="A1:O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9.1796875" collapsed="true"/>
    <col min="15" max="15" bestFit="true" customWidth="true" width="19.453125" collapsed="true"/>
  </cols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  <c r="L1" s="4" t="s">
        <v>25</v>
      </c>
      <c r="M1" s="4" t="s">
        <v>26</v>
      </c>
      <c r="N1" s="4" t="s">
        <v>27</v>
      </c>
      <c r="O1" s="4" t="s">
        <v>28</v>
      </c>
    </row>
    <row ht="377" r="2" spans="1:15" x14ac:dyDescent="0.35">
      <c r="A2" s="11" t="s">
        <v>10</v>
      </c>
      <c r="B2" s="11" t="s">
        <v>29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65</v>
      </c>
      <c r="L2" s="11" t="s">
        <v>30</v>
      </c>
      <c r="M2" s="11">
        <v>28609</v>
      </c>
      <c r="N2" s="11" t="s">
        <v>31</v>
      </c>
      <c r="O2" s="11" t="s">
        <v>32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9335-5599-4DF8-B9E1-DC0D08A18354}">
  <dimension ref="A1:O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2.453125" collapsed="true"/>
    <col min="15" max="15" bestFit="true" customWidth="true" width="19.453125" collapsed="true"/>
  </cols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  <c r="L1" s="4" t="s">
        <v>25</v>
      </c>
      <c r="M1" s="4" t="s">
        <v>26</v>
      </c>
      <c r="N1" s="4" t="s">
        <v>27</v>
      </c>
      <c r="O1" s="4" t="s">
        <v>28</v>
      </c>
    </row>
    <row ht="406" r="2" spans="1:15" x14ac:dyDescent="0.35">
      <c r="A2" s="11" t="s">
        <v>10</v>
      </c>
      <c r="B2" s="11" t="s">
        <v>29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65</v>
      </c>
      <c r="L2" s="11" t="s">
        <v>30</v>
      </c>
      <c r="M2" s="11">
        <v>28609</v>
      </c>
      <c r="N2" s="11" t="s">
        <v>31</v>
      </c>
      <c r="O2" s="11" t="s">
        <v>32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741B-6F05-455D-9A92-FE831FDDA104}">
  <dimension ref="A1:O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9.90625" collapsed="true"/>
    <col min="15" max="15" bestFit="true" customWidth="true" width="19.453125" collapsed="true"/>
  </cols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  <c r="L1" s="4" t="s">
        <v>25</v>
      </c>
      <c r="M1" s="4" t="s">
        <v>26</v>
      </c>
      <c r="N1" s="4" t="s">
        <v>27</v>
      </c>
      <c r="O1" s="4" t="s">
        <v>28</v>
      </c>
    </row>
    <row ht="406" r="2" spans="1:15" x14ac:dyDescent="0.35">
      <c r="A2" s="11" t="s">
        <v>10</v>
      </c>
      <c r="B2" s="11" t="s">
        <v>29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64</v>
      </c>
      <c r="L2" s="11" t="s">
        <v>30</v>
      </c>
      <c r="M2" s="11">
        <v>28609</v>
      </c>
      <c r="N2" s="11" t="s">
        <v>31</v>
      </c>
      <c r="O2" s="11" t="s">
        <v>32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03B0-5C9F-484A-9B05-1DD0B9C0F68E}">
  <dimension ref="A1:O2"/>
  <sheetViews>
    <sheetView workbookViewId="0">
      <selection activeCell="I2" sqref="I2"/>
    </sheetView>
  </sheetViews>
  <sheetFormatPr defaultRowHeight="14.5" x14ac:dyDescent="0.35"/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25</v>
      </c>
      <c r="M1" s="1" t="s">
        <v>26</v>
      </c>
      <c r="N1" s="1" t="s">
        <v>27</v>
      </c>
      <c r="O1" s="1" t="s">
        <v>28</v>
      </c>
    </row>
    <row ht="203" r="2" spans="1:15" x14ac:dyDescent="0.35">
      <c r="A2" t="s" s="0">
        <v>10</v>
      </c>
      <c r="B2" t="s" s="0">
        <v>417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6</v>
      </c>
      <c r="J2" s="3">
        <v>6</v>
      </c>
      <c r="K2" s="14" t="s">
        <v>33</v>
      </c>
      <c r="L2" s="14" t="s">
        <v>30</v>
      </c>
      <c r="M2" s="14">
        <v>28609</v>
      </c>
      <c r="N2" s="14" t="s">
        <v>31</v>
      </c>
      <c r="O2" s="14" t="s">
        <v>32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AD2F-9501-4262-B6DA-9C1FC4650EB6}">
  <dimension ref="A1:O2"/>
  <sheetViews>
    <sheetView workbookViewId="0">
      <selection activeCell="Q2" sqref="Q2"/>
    </sheetView>
  </sheetViews>
  <sheetFormatPr defaultRowHeight="14.5" x14ac:dyDescent="0.35"/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25</v>
      </c>
      <c r="M1" s="1" t="s">
        <v>26</v>
      </c>
      <c r="N1" s="1" t="s">
        <v>27</v>
      </c>
      <c r="O1" s="1" t="s">
        <v>28</v>
      </c>
    </row>
    <row ht="203" r="2" spans="1:15" x14ac:dyDescent="0.35">
      <c r="A2" t="s" s="0">
        <v>10</v>
      </c>
      <c r="B2" t="s" s="0">
        <v>416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5</v>
      </c>
      <c r="J2" s="3">
        <v>6</v>
      </c>
      <c r="K2" s="14" t="s">
        <v>34</v>
      </c>
      <c r="L2" s="14" t="s">
        <v>30</v>
      </c>
      <c r="M2" s="14">
        <v>28609</v>
      </c>
      <c r="N2" s="14" t="s">
        <v>31</v>
      </c>
      <c r="O2" s="14" t="s">
        <v>32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3975-D7A9-43F6-BD06-BA179809991B}">
  <dimension ref="A1:O2"/>
  <sheetViews>
    <sheetView workbookViewId="0">
      <selection activeCell="I2" sqref="I2"/>
    </sheetView>
  </sheetViews>
  <sheetFormatPr defaultRowHeight="14.5" x14ac:dyDescent="0.35"/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25</v>
      </c>
      <c r="M1" s="1" t="s">
        <v>26</v>
      </c>
      <c r="N1" s="1" t="s">
        <v>27</v>
      </c>
      <c r="O1" s="1" t="s">
        <v>28</v>
      </c>
    </row>
    <row ht="203" r="2" spans="1:15" x14ac:dyDescent="0.35">
      <c r="A2" t="s" s="0">
        <v>10</v>
      </c>
      <c r="B2" t="s" s="0">
        <v>415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7</v>
      </c>
      <c r="J2" s="3">
        <v>6</v>
      </c>
      <c r="K2" s="14" t="s">
        <v>35</v>
      </c>
      <c r="L2" s="14" t="s">
        <v>30</v>
      </c>
      <c r="M2" s="14">
        <v>28609</v>
      </c>
      <c r="N2" s="14" t="s">
        <v>31</v>
      </c>
      <c r="O2" s="14" t="s">
        <v>32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2F51-555B-49C2-8C54-78632D6874FA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437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3328-39C9-41FD-9DB4-ADF86208FC39}">
  <dimension ref="A1:J2"/>
  <sheetViews>
    <sheetView workbookViewId="0">
      <selection activeCell="J2" sqref="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438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691B-8A11-403A-A18C-0B3D16CACD43}">
  <dimension ref="A1:K2"/>
  <sheetViews>
    <sheetView workbookViewId="0">
      <selection sqref="A1:K2"/>
    </sheetView>
  </sheetViews>
  <sheetFormatPr defaultRowHeight="14.5" x14ac:dyDescent="0.35"/>
  <sheetData>
    <row ht="29"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</row>
    <row ht="409.5" r="2" spans="1:11" x14ac:dyDescent="0.35">
      <c r="A2" t="s" s="0">
        <v>10</v>
      </c>
      <c r="B2" t="s" s="0">
        <v>440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36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6D7C-21ED-46B0-BCCF-CB4452FF881C}">
  <dimension ref="A1:J2"/>
  <sheetViews>
    <sheetView workbookViewId="0">
      <selection activeCell="J2" sqref="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16</v>
      </c>
      <c r="B2" t="s" s="0">
        <v>477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152B-B1BC-4655-9345-694EE576670D}">
  <dimension ref="A1:K2"/>
  <sheetViews>
    <sheetView topLeftCell="A2" workbookViewId="0">
      <selection activeCell="N2" sqref="N2"/>
    </sheetView>
  </sheetViews>
  <sheetFormatPr defaultRowHeight="14.5" x14ac:dyDescent="0.35"/>
  <sheetData>
    <row ht="29"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</row>
    <row ht="409.5" r="2" spans="1:11" x14ac:dyDescent="0.35">
      <c r="A2" t="s" s="0">
        <v>10</v>
      </c>
      <c r="B2" t="s" s="0">
        <v>439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37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023C-1CA6-42DC-810C-1BD4192BEEFE}">
  <dimension ref="A1:J4"/>
  <sheetViews>
    <sheetView workbookViewId="0">
      <selection activeCell="G2" sqref="G2"/>
    </sheetView>
  </sheetViews>
  <sheetFormatPr defaultRowHeight="14.5" x14ac:dyDescent="0.35"/>
  <cols>
    <col min="7" max="7" bestFit="true" customWidth="true" width="13.90625" collapsed="true"/>
    <col min="8" max="8" bestFit="true" customWidth="true" width="15.7265625" collapsed="true"/>
    <col min="9" max="9" bestFit="true" customWidth="true" width="20.453125" collapsed="true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45</v>
      </c>
    </row>
    <row r="2" spans="1:10" x14ac:dyDescent="0.35">
      <c r="A2" t="s" s="0">
        <v>10</v>
      </c>
      <c r="B2" t="s" s="0">
        <v>471</v>
      </c>
      <c r="C2" s="14"/>
      <c r="D2" s="12" t="s">
        <v>11</v>
      </c>
      <c r="E2" s="12" t="s">
        <v>12</v>
      </c>
      <c r="F2" s="12" t="s">
        <v>13</v>
      </c>
      <c r="G2" t="str" s="0">
        <f xml:space="preserve"> "Carlos"</f>
        <v>Carlos</v>
      </c>
      <c r="H2" t="str" s="0">
        <f xml:space="preserve"> "InstallmentPlan"</f>
        <v>InstallmentPlan</v>
      </c>
      <c r="I2" t="str" s="0">
        <f xml:space="preserve"> "Daily"</f>
        <v>Daily</v>
      </c>
    </row>
    <row r="3" spans="1:10" x14ac:dyDescent="0.35">
      <c r="A3" t="s" s="0">
        <v>10</v>
      </c>
      <c r="B3" t="s" s="0">
        <v>472</v>
      </c>
      <c r="D3" s="12" t="s">
        <v>11</v>
      </c>
      <c r="E3" s="12" t="s">
        <v>12</v>
      </c>
      <c r="F3" s="12" t="s">
        <v>13</v>
      </c>
      <c r="G3" t="str" s="0">
        <f ref="G3:G4" si="0" t="shared" xml:space="preserve"> "Carlos"</f>
        <v>Carlos</v>
      </c>
      <c r="H3" t="s" s="0">
        <v>42</v>
      </c>
      <c r="I3" t="s" s="0">
        <v>43</v>
      </c>
    </row>
    <row r="4" spans="1:10" x14ac:dyDescent="0.35">
      <c r="A4" t="s" s="0">
        <v>10</v>
      </c>
      <c r="B4" t="s" s="0">
        <v>473</v>
      </c>
      <c r="D4" s="12" t="s">
        <v>11</v>
      </c>
      <c r="E4" s="12" t="s">
        <v>12</v>
      </c>
      <c r="F4" s="12" t="s">
        <v>13</v>
      </c>
      <c r="G4" t="str" s="0">
        <f si="0" t="shared"/>
        <v>Carlos</v>
      </c>
      <c r="H4" t="s" s="0">
        <v>44</v>
      </c>
    </row>
  </sheetData>
  <phoneticPr fontId="2" type="noConversion"/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2B03-4328-41F8-892F-CD81F2306003}">
  <dimension ref="A1:K2"/>
  <sheetViews>
    <sheetView workbookViewId="0">
      <selection activeCell="L2" sqref="L2"/>
    </sheetView>
  </sheetViews>
  <sheetFormatPr defaultRowHeight="14.5" x14ac:dyDescent="0.35"/>
  <cols>
    <col min="11" max="11" customWidth="true" width="30.36328125" collapsed="true"/>
  </cols>
  <sheetData>
    <row ht="29"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</row>
    <row ht="159.5" r="2" spans="1:11" x14ac:dyDescent="0.35">
      <c r="A2" t="s" s="0">
        <v>10</v>
      </c>
      <c r="B2" t="s" s="0">
        <v>441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46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22C3-FD59-462E-B48B-E29C12630952}">
  <dimension ref="A1:P2"/>
  <sheetViews>
    <sheetView tabSelected="1" workbookViewId="0">
      <selection activeCell="L1" sqref="L1"/>
    </sheetView>
  </sheetViews>
  <sheetFormatPr defaultRowHeight="14.5" x14ac:dyDescent="0.35"/>
  <cols>
    <col min="9" max="9" bestFit="true" customWidth="true" width="20.453125" collapsed="true"/>
    <col min="10" max="10" bestFit="true" customWidth="true" width="20.9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456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48</v>
      </c>
      <c r="I2" t="s" s="0">
        <v>43</v>
      </c>
      <c r="J2" t="s" s="0">
        <v>49</v>
      </c>
      <c r="K2" s="7" t="s">
        <v>54</v>
      </c>
      <c r="L2" s="7" t="str">
        <f ca="1">TEXT(TODAY()+1,"mm/dd/yyyy")</f>
        <v>11/18/2025</v>
      </c>
      <c r="M2" s="16">
        <v>10</v>
      </c>
      <c r="N2" s="17">
        <v>5</v>
      </c>
      <c r="O2" s="18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Installment Plan,
Payment Plan Duration:,	Daily,
Payment Plan Start Date:,	
4. Payment Plan,1 Daily payment of $10.00 on 11/18/2025,A Convenience Fee will be added to each transaction issued for 1 Daily payment of 5.00 starting on 11/18/2025 ,Individual Convenience Fee Amount:,	
Total Convenience Fees Paid:,	
Total Paid under this plan:</v>
      </c>
      <c r="P2" s="19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5.00 starting on 11/18/2025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9A53-CA02-4D9A-9DD5-DA00AC5C4A23}">
  <dimension ref="A1:P2"/>
  <sheetViews>
    <sheetView topLeftCell="E1" workbookViewId="0">
      <selection activeCell="L2" sqref="L2"/>
    </sheetView>
  </sheetViews>
  <sheetFormatPr defaultRowHeight="14.5" x14ac:dyDescent="0.35"/>
  <cols>
    <col min="10" max="10" bestFit="true" customWidth="true" width="20.90625" collapsed="true"/>
    <col min="11" max="11" customWidth="true" width="28.6328125" collapsed="true"/>
    <col min="12" max="12" customWidth="true" width="12.08984375" collapsed="true"/>
    <col min="14" max="14" customWidth="true" width="14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467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48</v>
      </c>
      <c r="I2" t="s" s="0">
        <v>43</v>
      </c>
      <c r="J2" t="s" s="0">
        <v>53</v>
      </c>
      <c r="K2" s="7" t="s">
        <v>54</v>
      </c>
      <c r="L2" s="7" t="str">
        <f ca="1">TEXT(TODAY()+1,"mm/dd/yyyy")</f>
        <v>11/18/2025</v>
      </c>
      <c r="M2" s="16">
        <v>10</v>
      </c>
      <c r="N2" s="17">
        <v>5</v>
      </c>
      <c r="O2" s="18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Installment Plan,
Payment Plan Duration:,	Daily,
Payment Plan Start Date:,	
4. Payment Plan,1 Daily payment of $10.00 on 11/18/2025,A Convenience Fee will be added to each transaction issued for 1 Daily payment of 5.00 starting on 11/18/2025 ,Individual Convenience Fee Amount:,	
Total Convenience Fees Paid:,	
Total Paid under this plan:</v>
      </c>
      <c r="P2" s="19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5.00 starting on 11/18/2025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CC56-CE37-4DAE-9D92-37CB9C481C7F}">
  <dimension ref="A1:P2"/>
  <sheetViews>
    <sheetView workbookViewId="0">
      <selection activeCell="N2" sqref="N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459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48</v>
      </c>
      <c r="I2" t="s" s="0">
        <v>55</v>
      </c>
      <c r="J2" t="s" s="0">
        <v>53</v>
      </c>
      <c r="K2" s="7" t="s">
        <v>56</v>
      </c>
      <c r="L2" s="7" t="str">
        <f ca="1">TEXT(TODAY()+1,"mm/dd/yyyy")</f>
        <v>11/18/2025</v>
      </c>
      <c r="M2" s="16">
        <v>10</v>
      </c>
      <c r="N2" s="17">
        <v>5</v>
      </c>
      <c r="O2" s="18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Installment Plan,
Payment Plan Duration:,	Deferred,
Payment Plan Start Date:,	
4. Payment Plan,1 Deferred payment of $10.00 on 11/18/2025,A Convenience Fee will be added to each transaction issued for 1 Deferred payment of 5.00 starting on 11/18/2025 ,Individual Convenience Fee Amount:,	
Total Convenience Fees Paid:,	
Total Paid under this plan:</v>
      </c>
      <c r="P2" s="19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5.00 starting on 11/18/2025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F27C-D0FF-4DEB-9DD7-F2E87A7294CB}">
  <dimension ref="A1:P2"/>
  <sheetViews>
    <sheetView workbookViewId="0">
      <selection activeCell="J2" sqref="J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461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42</v>
      </c>
      <c r="I2" t="s" s="0">
        <v>55</v>
      </c>
      <c r="J2" t="s" s="0">
        <v>53</v>
      </c>
      <c r="K2" s="7" t="s">
        <v>57</v>
      </c>
      <c r="L2" s="7" t="str">
        <f ca="1">TEXT(TODAY()+1,"mm/dd/yyyy")</f>
        <v>11/18/2025</v>
      </c>
      <c r="M2" s="16">
        <v>10</v>
      </c>
      <c r="N2" s="17">
        <v>5</v>
      </c>
      <c r="O2" s="18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Recurring,
Payment Plan Duration:,	Deferred,
Payment Plan Start Date:,	
4. Payment Plan,1 Deferred payment of $10.00 on 11/18/2025,A Convenience Fee will be added to each transaction issued for 1 Deferred payment of 5.00 starting on 11/18/2025 ,Individual Convenience Fee Amount:,	
Total Convenience Fees Paid:,	
Total Paid under this plan:</v>
      </c>
      <c r="P2" s="19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5.00 starting on 11/18/2025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A526-F613-4F63-B541-7FF18EFD935D}">
  <dimension ref="A1:P2"/>
  <sheetViews>
    <sheetView topLeftCell="A2" workbookViewId="0">
      <selection activeCell="K2" sqref="K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460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42</v>
      </c>
      <c r="I2" t="s" s="0">
        <v>43</v>
      </c>
      <c r="J2" t="s" s="0">
        <v>53</v>
      </c>
      <c r="K2" s="7" t="s">
        <v>99</v>
      </c>
      <c r="L2" s="7" t="str">
        <f ca="1">TEXT(TODAY()+1,"mm/dd/yyyy")</f>
        <v>11/18/2025</v>
      </c>
      <c r="M2" s="16">
        <v>10</v>
      </c>
      <c r="N2" s="17">
        <v>5</v>
      </c>
      <c r="O2" s="18" t="str">
        <f ca="1">K2&amp;TEXT(M2,"0.00")&amp;" starting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Recurring,
Payment Plan Duration:,	Daily,
Payment Plan Start Date:,	
4. Payment Plan, Daily payments of $10.00 starting on 11/18/2025,A Convenience Fee will be added to each transaction issued for Daily payment of 5.00 starting on 11/18/2025 ,Individual Convenience Fee Amount:,	
Total Convenience Fees Paid:,	
Total Paid under this plan:</v>
      </c>
      <c r="P2" s="19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5.00 starting on 11/18/2025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9C6A-9E4E-4705-AE64-D5133AE96048}">
  <dimension ref="A1:P2"/>
  <sheetViews>
    <sheetView topLeftCell="A2" workbookViewId="0">
      <selection activeCell="K1" sqref="K1:K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444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44</v>
      </c>
      <c r="I2" t="s" s="0">
        <v>43</v>
      </c>
      <c r="J2" t="s" s="0">
        <v>53</v>
      </c>
      <c r="K2" s="7" t="s">
        <v>58</v>
      </c>
      <c r="L2" s="7" t="str">
        <f ca="1">TEXT(TODAY(),"mm/dd/yyyy")</f>
        <v>11/17/2025</v>
      </c>
      <c r="M2" s="16">
        <v>10</v>
      </c>
      <c r="N2" s="17">
        <v>5</v>
      </c>
      <c r="O2" s="18"/>
      <c r="P2" s="19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9CCC-95AD-4B48-9052-C4AAA33A463F}">
  <dimension ref="A1:P2"/>
  <sheetViews>
    <sheetView topLeftCell="A2" workbookViewId="0">
      <selection sqref="A1:D2"/>
    </sheetView>
  </sheetViews>
  <sheetFormatPr defaultRowHeight="14.5" x14ac:dyDescent="0.35"/>
  <cols>
    <col min="11" max="11" customWidth="true" width="27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457</v>
      </c>
      <c r="C2" s="14"/>
      <c r="D2" s="12" t="s">
        <v>11</v>
      </c>
      <c r="E2" s="12" t="s">
        <v>12</v>
      </c>
      <c r="F2" s="12" t="s">
        <v>13</v>
      </c>
      <c r="G2" t="str" s="0">
        <f>"Smith"</f>
        <v>Smith</v>
      </c>
      <c r="H2" t="s" s="0">
        <v>44</v>
      </c>
      <c r="I2" t="s" s="0">
        <v>43</v>
      </c>
      <c r="J2" t="s" s="0">
        <v>53</v>
      </c>
      <c r="K2" s="7" t="s">
        <v>59</v>
      </c>
      <c r="L2" s="7" t="str">
        <f ca="1">TEXT(TODAY()+1,"mm/dd/yyyy")</f>
        <v>11/18/2025</v>
      </c>
      <c r="M2" s="16">
        <v>10</v>
      </c>
      <c r="N2" s="17">
        <v>5</v>
      </c>
      <c r="O2" s="18"/>
      <c r="P2" s="19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B38C-C9EF-4355-A944-36732259D0F6}">
  <dimension ref="A1:P2"/>
  <sheetViews>
    <sheetView workbookViewId="0">
      <selection activeCell="H2" sqref="H2"/>
    </sheetView>
  </sheetViews>
  <sheetFormatPr defaultRowHeight="14.5" x14ac:dyDescent="0.35"/>
  <cols>
    <col min="11" max="11" customWidth="true" width="25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41</v>
      </c>
      <c r="H1" t="s" s="0">
        <v>40</v>
      </c>
      <c r="I1" t="s" s="0">
        <v>39</v>
      </c>
      <c r="J1" t="s" s="0">
        <v>47</v>
      </c>
      <c r="K1" s="4" t="s">
        <v>50</v>
      </c>
      <c r="L1" s="4" t="s">
        <v>1</v>
      </c>
      <c r="M1" s="4" t="s">
        <v>4</v>
      </c>
      <c r="N1" s="4" t="s">
        <v>51</v>
      </c>
      <c r="O1" s="4" t="s">
        <v>17</v>
      </c>
      <c r="P1" s="4" t="s">
        <v>52</v>
      </c>
    </row>
    <row ht="409.5" r="2" spans="1:16" x14ac:dyDescent="0.35">
      <c r="A2" t="s" s="0">
        <v>10</v>
      </c>
      <c r="B2" t="s" s="0">
        <v>462</v>
      </c>
      <c r="C2" s="14"/>
      <c r="D2" s="12" t="s">
        <v>11</v>
      </c>
      <c r="E2" s="12" t="s">
        <v>12</v>
      </c>
      <c r="F2" s="12" t="s">
        <v>13</v>
      </c>
      <c r="G2" t="str" s="0">
        <f>"CarlosJacinta"</f>
        <v>CarlosJacinta</v>
      </c>
      <c r="H2" t="s" s="0">
        <v>44</v>
      </c>
      <c r="I2" t="s" s="0">
        <v>43</v>
      </c>
      <c r="J2" t="s" s="0">
        <v>53</v>
      </c>
      <c r="K2" s="7" t="s">
        <v>60</v>
      </c>
      <c r="L2" s="7" t="str">
        <f ca="1">TEXT(TODAY()+1,"mm/dd/yyyy")</f>
        <v>11/18/2025</v>
      </c>
      <c r="M2" s="16">
        <v>10</v>
      </c>
      <c r="N2" s="17">
        <v>5</v>
      </c>
      <c r="O2" s="18"/>
      <c r="P2" s="19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39</vt:i4>
      </vt:variant>
    </vt:vector>
  </HeadingPairs>
  <TitlesOfParts>
    <vt:vector baseType="lpstr" size="39">
      <vt:lpstr>VerifySuccessfulPaymentPSNoCF</vt:lpstr>
      <vt:lpstr>VerifySuccessfulPaymentPSSCF</vt:lpstr>
      <vt:lpstr>VerifySuccessfulPaymentPSDCF</vt:lpstr>
      <vt:lpstr>VerifySuccessfulPaymentPCDCF</vt:lpstr>
      <vt:lpstr>VerifySuccessfulPaymentPCSCF</vt:lpstr>
      <vt:lpstr>VerifySuccessfulPaymentPCNoCF</vt:lpstr>
      <vt:lpstr>VerifySuccessfulPaymentCorpDCF</vt:lpstr>
      <vt:lpstr>VerifySuccessfulPaymentCorpSCF</vt:lpstr>
      <vt:lpstr>VerifySuccessfulPaymentCorpNoCF</vt:lpstr>
      <vt:lpstr>VerifyCFVerbiageOnRPPSDCF</vt:lpstr>
      <vt:lpstr>VerifyCFVerbiageOnRPPCDCF</vt:lpstr>
      <vt:lpstr>VerifyCFVerbiageOnRPCorpDCF</vt:lpstr>
      <vt:lpstr>VerifyStaticTextOnRecieptCorp</vt:lpstr>
      <vt:lpstr>VerifyStaticTextOnRecieptPS</vt:lpstr>
      <vt:lpstr>VerifyStaticTextOnRecieptPC</vt:lpstr>
      <vt:lpstr>VerifyStaticTextOnPPPCDCF</vt:lpstr>
      <vt:lpstr>VerifyStaticTextOnPPPSDCF</vt:lpstr>
      <vt:lpstr>VerifyStaticTextOnPPCorpDCF</vt:lpstr>
      <vt:lpstr>UIVerifySelectPaymentMethodPS</vt:lpstr>
      <vt:lpstr>UIVerifySelectPaymentMethodPC</vt:lpstr>
      <vt:lpstr>UIVerifySelectPaymentMethodCorp</vt:lpstr>
      <vt:lpstr>CreateVerifyDeletePSPM</vt:lpstr>
      <vt:lpstr>CreateVerifyDeletePCPM</vt:lpstr>
      <vt:lpstr>CreateVerifyDeleteCorpPM</vt:lpstr>
      <vt:lpstr>VerifySuccessfulPaymentSPMPCDCF</vt:lpstr>
      <vt:lpstr>VerifySuccessfulPaymentSPMPSDCF</vt:lpstr>
      <vt:lpstr>UiVerificationSPPaymentMethodPC</vt:lpstr>
      <vt:lpstr>VerifySuccessfulPaymentSPMCoDCF</vt:lpstr>
      <vt:lpstr>UiVerificationSPPMCorp</vt:lpstr>
      <vt:lpstr>VerifySuccessfulSPDCFPC</vt:lpstr>
      <vt:lpstr>UiVerificationSPPaymentMethodPS</vt:lpstr>
      <vt:lpstr>CreateSPDCFPC_IPDailyIA</vt:lpstr>
      <vt:lpstr>CVCSPDCFPC_IPDailyNOP</vt:lpstr>
      <vt:lpstr>CVCSPDCFPC_IPDeferred</vt:lpstr>
      <vt:lpstr>CVCSPDCFPC_RecDeferred</vt:lpstr>
      <vt:lpstr>CVCSPDCFPC_RecDaily</vt:lpstr>
      <vt:lpstr>CVCSPDCFPC_AutomaticPayment</vt:lpstr>
      <vt:lpstr>CVCSPDCFCorp_AutomaticPayment</vt:lpstr>
      <vt:lpstr>CVCSPDCFPS_AutomaticPayment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Bharat Bhushan</cp:lastModifiedBy>
  <dcterms:modified xsi:type="dcterms:W3CDTF">2025-11-17T13:24:02Z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2025-05-15T11:37:11Z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ac2c211b-04b6-4ef6-b48a-8ce0936ce0a2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