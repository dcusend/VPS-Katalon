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mc:Choice Requires="x15">
      <x15ac:absPath xmlns:x15ac="http://schemas.microsoft.com/office/spreadsheetml/2010/11/ac" url="C:\Users\t470258\Documents\VPS-Katalon\KatalonData\ABPTestData\"/>
    </mc:Choice>
  </mc:AlternateContent>
  <xr:revisionPtr revIDLastSave="0" documentId="13_ncr:1_{9F3275BD-5542-4BE7-B2A1-064DB90EE424}" xr6:coauthVersionLast="47" xr6:coauthVersionMax="47" xr10:uidLastSave="{00000000-0000-0000-0000-000000000000}"/>
  <bookViews>
    <workbookView xWindow="-110" yWindow="-110" windowWidth="19420" windowHeight="11500" firstSheet="7" activeTab="9" xr2:uid="{00000000-000D-0000-FFFF-FFFF00000000}"/>
  </bookViews>
  <sheets>
    <sheet name="UIVerification-RegisterPayPage" sheetId="1" r:id="rId1"/>
    <sheet name="Sheet1" sheetId="2" r:id="rId2"/>
    <sheet name="SuccessfulPaymentCC" sheetId="3" r:id="rId3"/>
    <sheet name="VerifySuccessfulPaymentPSNoCF" sheetId="4" r:id="rId4"/>
    <sheet name="VerifySuccessfulPaymentCorpNoCF" sheetId="5" r:id="rId5"/>
    <sheet name="UIVerificationPendingBillsPage" sheetId="6" r:id="rId6"/>
    <sheet name="CreateDeleteProfileOwner" sheetId="7" r:id="rId7"/>
    <sheet name="CreateDeletePayer" sheetId="8" r:id="rId8"/>
    <sheet name="VerifyPasswordPolicy" sheetId="9" r:id="rId9"/>
    <sheet name="VerifyUsernameLength" sheetId="10" r:id="rId10"/>
    <sheet name="UiVerificationForAddUser" sheetId="11" r:id="rId11"/>
    <sheet name="UiVerificationForAccountProfile" sheetId="20" r:id="rId12"/>
    <sheet name="UiVerificationSPBillsLabel" sheetId="12" r:id="rId13"/>
    <sheet name="UiVerificationSPIPDaily" sheetId="13" r:id="rId14"/>
    <sheet name="UiVerificationSPRecDeferred" sheetId="17" r:id="rId15"/>
    <sheet name="UiVerificationSPRecDaily" sheetId="19" r:id="rId16"/>
    <sheet name="UiVerificationSPAP" sheetId="18" r:id="rId17"/>
    <sheet name="UiVerificationSPInstallmentQuar" sheetId="14" r:id="rId18"/>
    <sheet name="UiVerificationSPInstallmentAnua" sheetId="15" r:id="rId19"/>
    <sheet name="UiVerificationSPIPDeferred" sheetId="16" r:id="rId20"/>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6" l="1"/>
  <c r="G2" i="15"/>
  <c r="G2" i="19"/>
  <c r="K2" i="19" s="1"/>
  <c r="G2" i="17"/>
  <c r="K2" i="17" s="1"/>
  <c r="G2" i="13"/>
  <c r="K2" i="13" s="1"/>
  <c r="G2" i="14"/>
  <c r="J2" i="19" l="1"/>
  <c r="J2" i="17"/>
  <c r="J2" i="13"/>
  <c r="J2" i="16"/>
  <c r="I2" i="16" s="1"/>
</calcChain>
</file>

<file path=xl/sharedStrings.xml><?xml version="1.0" encoding="utf-8"?>
<sst xmlns="http://schemas.openxmlformats.org/spreadsheetml/2006/main" count="346" uniqueCount="101">
  <si>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</si>
  <si>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</si>
  <si>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</si>
  <si>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</si>
  <si>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</si>
  <si>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</si>
  <si>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</si>
  <si>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</si>
  <si>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</si>
  <si>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</si>
  <si>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</si>
  <si>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</si>
  <si>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</si>
  <si>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</si>
  <si>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</si>
  <si>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</si>
  <si>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</si>
  <si>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</si>
  <si>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</si>
  <si>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</si>
  <si>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</si>
  <si>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</si>
  <si>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</si>
  <si>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</si>
  <si>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</si>
  <si>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</si>
  <si>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</si>
  <si>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</si>
  <si>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</si>
  <si>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</si>
  <si>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</si>
  <si>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</si>
  <si>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</si>
  <si>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</si>
  <si>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</si>
  <si>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</si>
  <si>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</si>
  <si>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</si>
  <si>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</si>
  <si>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</si>
  <si>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</si>
  <si>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</si>
  <si>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</si>
  <si>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</si>
  <si>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</si>
  <si>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</si>
  <si>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</si>
  <si>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</si>
  <si>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</si>
  <si>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</si>
  <si>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</si>
  <si>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</si>
  <si>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</si>
  <si>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</si>
  <si>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</si>
  <si>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</si>
  <si>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</si>
  <si>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</si>
  <si>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</si>
  <si>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</si>
  <si>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</si>
  <si>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</si>
  <si>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</si>
  <si>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</si>
  <si>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</si>
  <si>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</si>
  <si>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</si>
  <si>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</si>
  <si>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Please choose another user name</t>
  </si>
  <si>
    <t>Fri Jun 19 01:44:23 IST 2026</t>
  </si>
  <si>
    <t>Fri Jun 19 10:56:21 IST 2026</t>
  </si>
  <si>
    <t>Fri Jun 19 11:09:58 IST 2026</t>
  </si>
  <si>
    <t>Fri Jun 19 11:16:21 IST 2026</t>
  </si>
  <si>
    <t>Sat Aug 08 01:06:02 IST 2026</t>
  </si>
  <si>
    <t>Fri Aug 14 23:00:20 IST 2026</t>
  </si>
  <si>
    <t>Fri Aug 14 23:00:35 IST 2026</t>
  </si>
  <si>
    <t>Fri Aug 14 23:00:49 IST 2026</t>
  </si>
  <si>
    <t>Fri Aug 14 23:01:59 IST 2026</t>
  </si>
  <si>
    <t>Sat Aug 15 00:45:27 IST 2026</t>
  </si>
  <si>
    <t>Sat Aug 15 00:46:06 IST 2026</t>
  </si>
  <si>
    <t>Sat Aug 15 00:47:31 IST 2026</t>
  </si>
  <si>
    <t>Sat Aug 15 00:48:00 IST 2026</t>
  </si>
  <si>
    <t>Sat Aug 15 00:48:25 IST 2026</t>
  </si>
  <si>
    <t>Wed Aug 19 17:42:56 IST 2026</t>
  </si>
  <si>
    <t>Wed Aug 19 17:44:45 IST 2026</t>
  </si>
  <si>
    <t>Wed Aug 19 17:46:30 IST 2026</t>
  </si>
  <si>
    <t>Thu Sep 17 23:56:11 IST 2026</t>
  </si>
  <si>
    <t>Thu Sep 17 23:56:32 IST 2026</t>
  </si>
  <si>
    <t>Thu Sep 17 23:56:51 IST 2026</t>
  </si>
  <si>
    <t>Thu Sep 17 23:58:13 IST 2026</t>
  </si>
  <si>
    <t>Thu Sep 17 23:58:53 IST 2026</t>
  </si>
  <si>
    <t>Fri Sep 18 00:57:01 IST 2026</t>
  </si>
  <si>
    <t>Fri Sep 18 00:57:57 IST 2026</t>
  </si>
  <si>
    <t>Fri Sep 18 00:58:38 IST 2026</t>
  </si>
  <si>
    <t>Fri Sep 18 01:01:51 IST 2026</t>
  </si>
  <si>
    <t>Fri Sep 18 01:02:30 IST 2026</t>
  </si>
  <si>
    <t>Tue Sep 22 20:59:23 IST 2026</t>
  </si>
  <si>
    <t>Tue Sep 22 23:37:32 IST 2026</t>
  </si>
  <si>
    <t>Tue Sep 22 23:38:57 IST 2026</t>
  </si>
  <si>
    <t>Tue Sep 22 23:40:26 IST 2026</t>
  </si>
  <si>
    <t>Tue Sep 22 23:41:47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</si>
</sst>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numFmtId="0" fontId="0" fillId="0" borderId="0"/>
  </cellStyleXfs>
  <cellXfs count="20">
    <xf numFmtId="0" fontId="0" fillId="0" borderId="0" xfId="0"/>
    <xf numFmtId="0" fontId="1" fillId="0" borderId="0" xfId="0" applyFont="1" applyAlignment="1">
      <alignment vertical="center"/>
    </xf>
    <xf numFmtId="49" fontId="0" fillId="0" borderId="2" xfId="0" applyNumberFormat="1" applyBorder="1" applyAlignment="1">
      <alignment wrapText="1"/>
    </xf>
    <xf numFmtId="49" fontId="0" fillId="0" borderId="1" xfId="0" applyNumberFormat="1" applyBorder="1" applyAlignment="1">
      <alignment wrapText="1"/>
    </xf>
    <xf numFmtId="0" fontId="0" fillId="0" borderId="1" xfId="0" applyBorder="1"/>
    <xf numFmtId="0" fontId="1" fillId="0" borderId="1" xfId="0" applyFont="1" applyBorder="1" applyAlignment="1">
      <alignment vertical="center"/>
    </xf>
    <xf numFmtId="0" fontId="0" fillId="0" borderId="1" xfId="0" applyBorder="1" applyAlignment="1">
      <alignment wrapText="1"/>
    </xf>
    <xf numFmtId="0" fontId="0" fillId="0" borderId="1" xfId="0" applyBorder="1" applyAlignment="1">
      <alignment vertical="center"/>
    </xf>
    <xf numFmtId="0" fontId="0" fillId="0" borderId="1" xfId="0" applyBorder="1" applyAlignment="1">
      <alignment vertical="center" wrapText="1"/>
    </xf>
    <xf numFmtId="0" fontId="2" fillId="2" borderId="0" xfId="0" applyFont="1" applyFill="1" applyAlignment="1">
      <alignment vertical="center"/>
    </xf>
    <xf numFmtId="49" fontId="0" fillId="0" borderId="3" xfId="0" applyNumberFormat="1" applyBorder="1" applyAlignment="1">
      <alignment wrapText="1"/>
    </xf>
    <xf numFmtId="0" fontId="2" fillId="2" borderId="1" xfId="0" applyFont="1" applyFill="1" applyBorder="1" applyAlignment="1">
      <alignment vertical="center"/>
    </xf>
    <xf numFmtId="0" fontId="0" fillId="0" borderId="1" xfId="0" applyBorder="1" applyAlignment="1">
      <alignment vertical="top"/>
    </xf>
    <xf numFmtId="49" fontId="0" fillId="0" borderId="4" xfId="0" applyNumberFormat="1" applyBorder="1" applyAlignment="1">
      <alignment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2" fontId="0" fillId="0" borderId="0" xfId="0" applyNumberFormat="1" applyAlignment="1">
      <alignment vertical="top" wrapText="1"/>
    </xf>
    <xf numFmtId="164" fontId="0" fillId="0" borderId="0" xfId="0" applyNumberFormat="1" applyAlignment="1">
      <alignment vertical="top" wrapText="1"/>
    </xf>
    <xf numFmtId="0" fontId="0" fillId="0" borderId="0" xfId="0"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r="2" spans="1:16" ht="409.5"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s="0">
        <v>13</v>
      </c>
      <c r="E3" s="1" t="s">
        <v>9</v>
      </c>
      <c r="F3" s="1">
        <v>30190709</v>
      </c>
      <c r="G3" s="1">
        <v>300001</v>
      </c>
      <c r="H3" s="1">
        <v>300002</v>
      </c>
      <c r="I3" t="s" s="0">
        <v>12</v>
      </c>
    </row>
  </sheetData>
  <pageMargins left="0.7" right="0.7" top="0.75" bottom="0.75" header="0.3" footer="0.3"/>
  <headerFooter>
    <oddFooter xml:space="preserve">&amp;C_x000D_&amp;1#&amp;"Calibri"&amp;10&amp;K000000 Public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H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s="0">
        <v>1</v>
      </c>
      <c r="F2" s="0">
        <v>1</v>
      </c>
      <c r="G2" s="0">
        <v>3</v>
      </c>
      <c r="H2" s="0">
        <v>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K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s="0">
        <v>34</v>
      </c>
      <c r="B2" t="s" s="0">
        <v>36</v>
      </c>
      <c r="C2" s="4"/>
      <c r="D2" s="3" t="s">
        <v>8</v>
      </c>
      <c r="E2" s="3" t="s">
        <v>27</v>
      </c>
      <c r="F2" s="3" t="s">
        <v>28</v>
      </c>
      <c r="G2" s="4">
        <v>1</v>
      </c>
      <c r="H2" s="4"/>
      <c r="I2" s="4">
        <v>1</v>
      </c>
      <c r="J2" s="4">
        <v>3</v>
      </c>
      <c r="K2" s="4">
        <v>6</v>
      </c>
    </row>
    <row r="3" spans="1:11" x14ac:dyDescent="0.35">
      <c r="A3" t="s" s="0">
        <v>34</v>
      </c>
      <c r="B3" t="s" s="0">
        <v>37</v>
      </c>
      <c r="C3" s="4"/>
      <c r="D3" s="3" t="s">
        <v>8</v>
      </c>
      <c r="E3" s="4"/>
      <c r="F3" s="4">
        <v>1</v>
      </c>
      <c r="G3" s="4">
        <v>1</v>
      </c>
      <c r="H3" s="4"/>
      <c r="I3" s="4">
        <v>2</v>
      </c>
      <c r="J3" s="4"/>
      <c r="K3" s="4">
        <v>6</v>
      </c>
    </row>
    <row r="4" spans="1:11" x14ac:dyDescent="0.35">
      <c r="A4" t="s" s="0">
        <v>34</v>
      </c>
      <c r="B4" t="s" s="0">
        <v>38</v>
      </c>
      <c r="C4" s="4"/>
      <c r="D4" s="3" t="s">
        <v>8</v>
      </c>
      <c r="E4" s="4"/>
      <c r="F4" s="4">
        <v>1</v>
      </c>
      <c r="G4" s="4">
        <v>1</v>
      </c>
      <c r="H4" s="4"/>
      <c r="I4" s="4">
        <v>3</v>
      </c>
      <c r="J4" s="4"/>
      <c r="K4" s="4">
        <v>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J2"/>
  <sheetViews>
    <sheetView workbookViewId="0">
      <selection sqref="A1:J2"/>
    </sheetView>
  </sheetViews>
  <sheetFormatPr defaultRowHeight="14.5" x14ac:dyDescent="0.35"/>
  <cols>
    <col min="2" max="2" bestFit="true" customWidth="true" width="25.81640625" collapsed="true"/>
  </cols>
  <sheetData>
    <row r="1" spans="1:10" ht="29" x14ac:dyDescent="0.35">
      <c r="A1" s="3" t="s">
        <v>4</v>
      </c>
      <c r="B1" s="3" t="s">
        <v>5</v>
      </c>
      <c r="C1" s="3" t="s">
        <v>6</v>
      </c>
      <c r="D1" s="3" t="s">
        <v>7</v>
      </c>
      <c r="E1" s="3" t="s">
        <v>25</v>
      </c>
      <c r="F1" s="3" t="s">
        <v>26</v>
      </c>
      <c r="G1" s="11" t="s">
        <v>29</v>
      </c>
      <c r="H1" s="3" t="s">
        <v>30</v>
      </c>
      <c r="I1" s="3" t="s">
        <v>32</v>
      </c>
      <c r="J1" s="3" t="s">
        <v>33</v>
      </c>
    </row>
    <row r="2" spans="1:10" x14ac:dyDescent="0.35">
      <c r="A2" t="s" s="0">
        <v>34</v>
      </c>
      <c r="B2" t="s" s="0">
        <v>40</v>
      </c>
      <c r="C2" s="4"/>
      <c r="D2" s="3" t="s">
        <v>8</v>
      </c>
      <c r="E2" s="3" t="s">
        <v>27</v>
      </c>
      <c r="F2" s="3" t="s">
        <v>28</v>
      </c>
      <c r="G2" s="4">
        <v>1</v>
      </c>
      <c r="H2" s="4">
        <v>1</v>
      </c>
      <c r="I2" s="4">
        <v>3</v>
      </c>
      <c r="J2" s="4">
        <v>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J2"/>
  <sheetViews>
    <sheetView topLeftCell="A3" workbookViewId="0">
      <selection activeCell="K8" sqref="K8"/>
    </sheetView>
  </sheetViews>
  <sheetFormatPr defaultRowHeight="14.5" x14ac:dyDescent="0.35"/>
  <sheetData>
    <row r="1" spans="1:10" ht="29" x14ac:dyDescent="0.35">
      <c r="A1" s="3" t="s">
        <v>4</v>
      </c>
      <c r="B1" s="3" t="s">
        <v>5</v>
      </c>
      <c r="C1" s="3" t="s">
        <v>6</v>
      </c>
      <c r="D1" s="3" t="s">
        <v>7</v>
      </c>
      <c r="E1" s="3" t="s">
        <v>25</v>
      </c>
      <c r="F1" s="3" t="s">
        <v>26</v>
      </c>
      <c r="G1" s="11" t="s">
        <v>29</v>
      </c>
      <c r="H1" s="3" t="s">
        <v>30</v>
      </c>
      <c r="I1" s="3" t="s">
        <v>32</v>
      </c>
      <c r="J1" s="3" t="s">
        <v>33</v>
      </c>
    </row>
    <row r="2" spans="1:10" x14ac:dyDescent="0.35">
      <c r="A2" t="s" s="0">
        <v>34</v>
      </c>
      <c r="B2" t="s" s="0">
        <v>39</v>
      </c>
      <c r="C2" s="4"/>
      <c r="D2" s="3" t="s">
        <v>8</v>
      </c>
      <c r="E2" s="3" t="s">
        <v>27</v>
      </c>
      <c r="F2" s="3" t="s">
        <v>28</v>
      </c>
      <c r="G2" s="4">
        <v>1</v>
      </c>
      <c r="H2" s="4">
        <v>3</v>
      </c>
      <c r="I2" s="4">
        <v>3</v>
      </c>
      <c r="J2" s="4">
        <v>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I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r="2" spans="1:9" ht="409.5" x14ac:dyDescent="0.35">
      <c r="A2" t="s" s="0">
        <v>34</v>
      </c>
      <c r="B2" t="s" s="0">
        <v>88</v>
      </c>
      <c r="C2" s="12"/>
      <c r="D2" s="12" t="s">
        <v>8</v>
      </c>
      <c r="E2" s="5" t="s">
        <v>9</v>
      </c>
      <c r="F2" s="5">
        <v>30190709</v>
      </c>
      <c r="G2" s="5">
        <v>300001</v>
      </c>
      <c r="H2" s="5">
        <v>300002</v>
      </c>
      <c r="I2" s="6" t="s">
        <v>41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E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s="0">
        <v>34</v>
      </c>
      <c r="B2" t="s" s="0">
        <v>69</v>
      </c>
      <c r="C2" s="12"/>
      <c r="D2" s="12" t="s">
        <v>8</v>
      </c>
      <c r="E2" s="4" t="s">
        <v>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E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s="0">
        <v>34</v>
      </c>
      <c r="B2" t="s" s="0">
        <v>71</v>
      </c>
      <c r="C2" s="12"/>
      <c r="D2" s="12" t="s">
        <v>8</v>
      </c>
      <c r="E2" s="4" t="s">
        <v>43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G4"/>
  <sheetViews>
    <sheetView workbookViewId="0">
      <selection activeCell="G11" sqref="G11"/>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r="2" spans="1:7" ht="52" customHeight="1" x14ac:dyDescent="0.35">
      <c r="A2" t="s" s="0">
        <v>34</v>
      </c>
      <c r="B2" t="s" s="0">
        <v>80</v>
      </c>
      <c r="C2" s="12"/>
      <c r="D2" s="12" t="s">
        <v>8</v>
      </c>
      <c r="E2" s="4" t="s">
        <v>12</v>
      </c>
      <c r="F2" t="s" s="0">
        <v>43</v>
      </c>
      <c r="G2" s="15" t="s">
        <v>49</v>
      </c>
    </row>
    <row r="3" spans="1:7" ht="29" x14ac:dyDescent="0.35">
      <c r="A3" t="s" s="0">
        <v>34</v>
      </c>
      <c r="B3" t="s" s="0">
        <v>81</v>
      </c>
      <c r="D3" t="s" s="0">
        <v>8</v>
      </c>
      <c r="E3" t="s" s="0">
        <v>45</v>
      </c>
      <c r="G3" s="15" t="s">
        <v>47</v>
      </c>
    </row>
    <row r="4" spans="1:7" x14ac:dyDescent="0.35">
      <c r="A4" t="s" s="0">
        <v>34</v>
      </c>
      <c r="B4" t="s" s="0">
        <v>82</v>
      </c>
      <c r="D4" t="s" s="0">
        <v>8</v>
      </c>
      <c r="E4" t="s" s="0">
        <v>48</v>
      </c>
      <c r="G4" s="19" t="s">
        <v>46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G2"/>
  <sheetViews>
    <sheetView tabSelected="1" workbookViewId="0">
      <selection activeCell="F2" sqref="F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50</v>
      </c>
    </row>
    <row r="2" spans="1:7" x14ac:dyDescent="0.35">
      <c r="A2" t="s" s="0">
        <v>34</v>
      </c>
      <c r="B2" t="s" s="0">
        <v>72</v>
      </c>
      <c r="C2" s="12"/>
      <c r="D2" s="12" t="s">
        <v>8</v>
      </c>
      <c r="E2" s="4" t="s">
        <v>43</v>
      </c>
      <c r="F2" t="s" s="0">
        <v>68</v>
      </c>
      <c r="G2" t="s" s="0">
        <v>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M2"/>
  <sheetViews>
    <sheetView topLeftCell="A2" workbookViewId="0">
      <selection sqref="A1:M2"/>
    </sheetView>
  </sheetViews>
  <sheetFormatPr defaultRowHeight="14.5" x14ac:dyDescent="0.35"/>
  <cols>
    <col min="6" max="6" customWidth="true" width="53.36328125" collapsed="true"/>
  </cols>
  <sheetData>
    <row r="1" spans="1:13" ht="29" x14ac:dyDescent="0.35">
      <c r="A1" s="3" t="s">
        <v>4</v>
      </c>
      <c r="B1" s="3" t="s">
        <v>5</v>
      </c>
      <c r="C1" s="3" t="s">
        <v>6</v>
      </c>
      <c r="D1" s="3" t="s">
        <v>7</v>
      </c>
      <c r="E1" s="3" t="s">
        <v>42</v>
      </c>
      <c r="F1" s="13" t="s">
        <v>10</v>
      </c>
      <c r="G1" s="13" t="s">
        <v>50</v>
      </c>
      <c r="H1" s="13" t="s">
        <v>16</v>
      </c>
      <c r="I1" s="13" t="s">
        <v>14</v>
      </c>
      <c r="J1" s="13" t="s">
        <v>15</v>
      </c>
      <c r="K1" s="13" t="s">
        <v>17</v>
      </c>
      <c r="L1" s="13" t="s">
        <v>19</v>
      </c>
      <c r="M1" s="13" t="s">
        <v>18</v>
      </c>
    </row>
    <row r="2" spans="1:13" ht="261" x14ac:dyDescent="0.35">
      <c r="A2" t="s" s="0">
        <v>34</v>
      </c>
      <c r="B2" t="s" s="0">
        <v>87</v>
      </c>
      <c r="C2" s="12"/>
      <c r="D2" s="12" t="s">
        <v>8</v>
      </c>
      <c r="E2" s="4" t="s">
        <v>43</v>
      </c>
      <c r="F2" s="15" t="s">
        <v>54</v>
      </c>
      <c r="G2" t="s" s="0">
        <v>12</v>
      </c>
      <c r="H2" s="14" t="s">
        <v>51</v>
      </c>
      <c r="I2" t="s" s="0">
        <v>52</v>
      </c>
      <c r="J2" t="s" s="0">
        <v>53</v>
      </c>
      <c r="K2" s="14" t="s">
        <v>23</v>
      </c>
      <c r="L2" t="s" s="0">
        <v>24</v>
      </c>
      <c r="M2" s="0">
        <v>20770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M2"/>
  <sheetViews>
    <sheetView workbookViewId="0">
      <selection activeCell="G2" sqref="G2"/>
    </sheetView>
  </sheetViews>
  <sheetFormatPr defaultRowHeight="14.5" x14ac:dyDescent="0.35"/>
  <cols>
    <col min="6" max="6" customWidth="true" width="39.7265625" collapsed="true"/>
  </cols>
  <sheetData>
    <row r="1" spans="1:13" ht="29" x14ac:dyDescent="0.35">
      <c r="A1" s="3" t="s">
        <v>4</v>
      </c>
      <c r="B1" s="3" t="s">
        <v>5</v>
      </c>
      <c r="C1" s="3" t="s">
        <v>6</v>
      </c>
      <c r="D1" s="3" t="s">
        <v>7</v>
      </c>
      <c r="E1" s="3" t="s">
        <v>42</v>
      </c>
      <c r="F1" s="13" t="s">
        <v>10</v>
      </c>
      <c r="G1" s="13" t="s">
        <v>50</v>
      </c>
      <c r="H1" s="13" t="s">
        <v>16</v>
      </c>
      <c r="I1" s="13" t="s">
        <v>14</v>
      </c>
      <c r="J1" s="13" t="s">
        <v>15</v>
      </c>
      <c r="K1" s="13" t="s">
        <v>17</v>
      </c>
      <c r="L1" s="13" t="s">
        <v>19</v>
      </c>
      <c r="M1" s="13" t="s">
        <v>18</v>
      </c>
    </row>
    <row r="2" spans="1:13" ht="159.5" x14ac:dyDescent="0.35">
      <c r="A2" t="s" s="0">
        <v>34</v>
      </c>
      <c r="B2" t="s" s="0">
        <v>86</v>
      </c>
      <c r="C2" s="12"/>
      <c r="D2" s="12" t="s">
        <v>8</v>
      </c>
      <c r="E2" s="4" t="s">
        <v>43</v>
      </c>
      <c r="F2" s="15" t="s">
        <v>65</v>
      </c>
      <c r="G2" t="s" s="0">
        <v>12</v>
      </c>
      <c r="H2" s="14" t="s">
        <v>51</v>
      </c>
      <c r="I2" t="s" s="0">
        <v>52</v>
      </c>
      <c r="J2" t="s" s="0">
        <v>53</v>
      </c>
      <c r="K2" s="14" t="s">
        <v>23</v>
      </c>
      <c r="L2" t="s" s="0">
        <v>24</v>
      </c>
      <c r="M2" s="0">
        <v>20770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G2"/>
  <sheetViews>
    <sheetView workbookViewId="0">
      <selection activeCell="F2" sqref="F2"/>
    </sheetView>
  </sheetViews>
  <sheetFormatPr defaultRowHeight="14.5" x14ac:dyDescent="0.35"/>
  <cols>
    <col min="6" max="6" customWidth="true" width="44.26953125" collapsed="true"/>
  </cols>
  <sheetData>
    <row r="1" spans="1:7" ht="29" x14ac:dyDescent="0.35">
      <c r="A1" s="3" t="s">
        <v>4</v>
      </c>
      <c r="B1" s="3" t="s">
        <v>5</v>
      </c>
      <c r="C1" s="3" t="s">
        <v>6</v>
      </c>
      <c r="D1" s="3" t="s">
        <v>7</v>
      </c>
      <c r="E1" s="3" t="s">
        <v>42</v>
      </c>
      <c r="F1" s="13" t="s">
        <v>10</v>
      </c>
      <c r="G1" s="13" t="s">
        <v>50</v>
      </c>
    </row>
    <row r="2" spans="1:7" ht="116" x14ac:dyDescent="0.35">
      <c r="A2" t="s" s="0">
        <v>34</v>
      </c>
      <c r="B2" t="s" s="0">
        <v>90</v>
      </c>
      <c r="C2" s="12"/>
      <c r="D2" s="12" t="s">
        <v>8</v>
      </c>
      <c r="E2" s="4" t="s">
        <v>43</v>
      </c>
      <c r="F2" s="15" t="s">
        <v>66</v>
      </c>
      <c r="G2" t="s" s="0">
        <v>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K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r="1" spans="1:11" ht="43.5" x14ac:dyDescent="0.35">
      <c r="A1" s="3" t="s">
        <v>4</v>
      </c>
      <c r="B1" s="3" t="s">
        <v>5</v>
      </c>
      <c r="C1" s="3" t="s">
        <v>6</v>
      </c>
      <c r="D1" s="3" t="s">
        <v>7</v>
      </c>
      <c r="E1" s="3" t="s">
        <v>42</v>
      </c>
      <c r="F1" s="13" t="s">
        <v>56</v>
      </c>
      <c r="G1" s="13" t="s">
        <v>5</v>
      </c>
      <c r="H1" s="13" t="s">
        <v>25</v>
      </c>
      <c r="I1" s="13" t="s">
        <v>59</v>
      </c>
      <c r="J1" s="13" t="s">
        <v>10</v>
      </c>
      <c r="K1" s="13" t="s">
        <v>58</v>
      </c>
    </row>
    <row r="2" spans="1:11" ht="362.5" x14ac:dyDescent="0.35">
      <c r="A2" t="s" s="0">
        <v>34</v>
      </c>
      <c r="B2" t="s" s="0">
        <v>96</v>
      </c>
      <c r="C2" s="12"/>
      <c r="D2" s="12" t="s">
        <v>8</v>
      </c>
      <c r="E2" s="4" t="s">
        <v>43</v>
      </c>
      <c r="F2" s="15" t="s">
        <v>60</v>
      </c>
      <c r="G2" s="15" t="str">
        <f ca="1">TEXT(TODAY()+1,"mm/dd/yyyy")</f>
        <v>08/26/2026</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08/26/2026,A Convenience Fee will be added to each transaction issued for 1 Daily payment of 0.00 starting on 08/26/2026</v>
      </c>
      <c r="K2" s="14" t="str">
        <f ca="1">"A Convenience Fee will be added to each transaction issued for 1 Daily payment of "&amp;  TEXT(I2,"0.00")&amp;" starting on "&amp;G2</f>
        <v>A Convenience Fee will be added to each transaction issued for 1 Daily payment of 0.00 starting on 08/26/2026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K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r="1" spans="1:11" ht="29" x14ac:dyDescent="0.35">
      <c r="A1" s="3" t="s">
        <v>4</v>
      </c>
      <c r="B1" s="3" t="s">
        <v>5</v>
      </c>
      <c r="C1" s="3" t="s">
        <v>6</v>
      </c>
      <c r="D1" s="3" t="s">
        <v>7</v>
      </c>
      <c r="E1" s="3" t="s">
        <v>42</v>
      </c>
      <c r="F1" s="13" t="s">
        <v>56</v>
      </c>
      <c r="G1" s="13" t="s">
        <v>5</v>
      </c>
      <c r="H1" s="13" t="s">
        <v>25</v>
      </c>
      <c r="I1" s="13" t="s">
        <v>59</v>
      </c>
      <c r="J1" s="13" t="s">
        <v>10</v>
      </c>
      <c r="K1" s="13" t="s">
        <v>58</v>
      </c>
    </row>
    <row r="2" spans="1:11" ht="304.5" x14ac:dyDescent="0.35">
      <c r="A2" t="s" s="0">
        <v>34</v>
      </c>
      <c r="B2" t="s" s="0">
        <v>100</v>
      </c>
      <c r="C2" s="12"/>
      <c r="D2" s="12" t="s">
        <v>8</v>
      </c>
      <c r="E2" s="4" t="s">
        <v>43</v>
      </c>
      <c r="F2" s="15" t="s">
        <v>62</v>
      </c>
      <c r="G2" s="15" t="str">
        <f ca="1">TEXT(TODAY()+1,"mm/dd/yyyy")</f>
        <v>08/26/2026</v>
      </c>
      <c r="H2" s="18">
        <v>10</v>
      </c>
      <c r="I2" s="17">
        <v>0</v>
      </c>
      <c r="J2" s="16" t="str">
        <f ca="1">F2&amp;TEXT(H2,"0.00")&amp;" on "&amp;G2&amp;","&amp;K2</f>
        <v>Select Payment Plan Frequency,
Deferred,
Select the date you wish to submit your payment,
Step 4: Review Payment Plan,
1 Deferred payment of $10.00 on 08/26/2026,A Convenience Fee will be added to each transaction issued for 1 Deferred payment of 0.00 starting on 08/26/2026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08/26/2026 ,Individual Convenience Fee Amount:,	
Total Convenience Fees Paid:,	
Total Paid under this plan:</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K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r="1" spans="1:11" ht="29" x14ac:dyDescent="0.35">
      <c r="A1" s="3" t="s">
        <v>4</v>
      </c>
      <c r="B1" s="3" t="s">
        <v>5</v>
      </c>
      <c r="C1" s="3" t="s">
        <v>6</v>
      </c>
      <c r="D1" s="3" t="s">
        <v>7</v>
      </c>
      <c r="E1" s="3" t="s">
        <v>42</v>
      </c>
      <c r="F1" s="13" t="s">
        <v>56</v>
      </c>
      <c r="G1" s="13" t="s">
        <v>5</v>
      </c>
      <c r="H1" s="13" t="s">
        <v>25</v>
      </c>
      <c r="I1" s="13" t="s">
        <v>59</v>
      </c>
      <c r="J1" s="13" t="s">
        <v>10</v>
      </c>
      <c r="K1" s="13" t="s">
        <v>58</v>
      </c>
    </row>
    <row r="2" spans="1:11" ht="304.5" x14ac:dyDescent="0.35">
      <c r="A2" t="s" s="0">
        <v>34</v>
      </c>
      <c r="B2" t="s" s="0">
        <v>99</v>
      </c>
      <c r="C2" s="12"/>
      <c r="D2" s="12" t="s">
        <v>8</v>
      </c>
      <c r="E2" s="4" t="s">
        <v>43</v>
      </c>
      <c r="F2" s="15" t="s">
        <v>64</v>
      </c>
      <c r="G2" s="15" t="str">
        <f ca="1">TEXT(TODAY()+1,"mm/dd/yyyy")</f>
        <v>08/26/2026</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08/26/2026,A Convenience Fee will be added to each transaction issued for Daily payment of 0.00 starting on 08/26/2026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08/26/2026 ,Individual Convenience Fee Amount:,	
Total Convenience Fees Paid:,	
Total Paid under this plan:</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F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r="2" spans="1:6" ht="101.5" x14ac:dyDescent="0.35">
      <c r="A2" t="s" s="0">
        <v>34</v>
      </c>
      <c r="B2" t="s" s="0">
        <v>89</v>
      </c>
      <c r="C2" s="12"/>
      <c r="D2" s="12" t="s">
        <v>8</v>
      </c>
      <c r="E2" s="4" t="s">
        <v>43</v>
      </c>
      <c r="F2" s="15" t="s">
        <v>63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G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56</v>
      </c>
      <c r="G1" s="13" t="s">
        <v>10</v>
      </c>
    </row>
    <row r="2" spans="1:7" ht="246.5" x14ac:dyDescent="0.35">
      <c r="A2" t="s" s="0">
        <v>34</v>
      </c>
      <c r="B2" t="s" s="0">
        <v>97</v>
      </c>
      <c r="C2" s="12"/>
      <c r="D2" s="12" t="s">
        <v>8</v>
      </c>
      <c r="E2" s="4" t="s">
        <v>43</v>
      </c>
      <c r="F2" s="15" t="s">
        <v>57</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08/26/2026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G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56</v>
      </c>
      <c r="G1" s="13" t="s">
        <v>10</v>
      </c>
    </row>
    <row r="2" spans="1:7" ht="159.5" x14ac:dyDescent="0.35">
      <c r="A2" t="s" s="0">
        <v>34</v>
      </c>
      <c r="B2" t="s" s="0">
        <v>70</v>
      </c>
      <c r="C2" s="12"/>
      <c r="D2" s="12" t="s">
        <v>8</v>
      </c>
      <c r="E2" s="4" t="s">
        <v>43</v>
      </c>
      <c r="F2" s="15" t="s">
        <v>67</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08/26/2026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J2"/>
  <sheetViews>
    <sheetView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r="1" spans="1:10" ht="29" x14ac:dyDescent="0.35">
      <c r="A1" s="3" t="s">
        <v>4</v>
      </c>
      <c r="B1" s="3" t="s">
        <v>5</v>
      </c>
      <c r="C1" s="3" t="s">
        <v>6</v>
      </c>
      <c r="D1" s="3" t="s">
        <v>7</v>
      </c>
      <c r="E1" s="13" t="s">
        <v>56</v>
      </c>
      <c r="F1" s="13" t="s">
        <v>5</v>
      </c>
      <c r="G1" s="13" t="s">
        <v>25</v>
      </c>
      <c r="H1" s="13" t="s">
        <v>59</v>
      </c>
      <c r="I1" s="13" t="s">
        <v>10</v>
      </c>
      <c r="J1" s="13" t="s">
        <v>58</v>
      </c>
    </row>
    <row r="2" spans="1:10" ht="232" x14ac:dyDescent="0.35">
      <c r="A2" t="s" s="0">
        <v>34</v>
      </c>
      <c r="B2" t="s" s="0">
        <v>98</v>
      </c>
      <c r="C2" s="12"/>
      <c r="D2" s="12" t="s">
        <v>8</v>
      </c>
      <c r="E2" s="15" t="s">
        <v>61</v>
      </c>
      <c r="F2" s="15" t="str">
        <f ca="1">TEXT(TODAY()+1,"mm/dd/yyyy")</f>
        <v>08/26/2026</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08/26/2026,A Convenience Fee will be added to each transaction issued for 1 Deferred payment of 0.00 starting on 08/26/2026</v>
      </c>
      <c r="J2" s="14" t="str">
        <f ca="1">"A Convenience Fee will be added to each transaction issued for 1 Deferred payment of "&amp;  TEXT(H2,"0.00")&amp;" starting on "&amp;F2</f>
        <v>A Convenience Fee will be added to each transaction issued for 1 Deferred payment of 0.00 starting on 08/26/2026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Bhushan, Bharat</cp:lastModifiedBy>
  <dcterms:modified xsi:type="dcterms:W3CDTF">2026-08-25T15:17:11Z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e51ac3-344e-4d7e-82a2-d6ed2fbd0340_Enabled">
    <vt:lpwstr>true</vt:lpwstr>
  </property>
  <property fmtid="{D5CDD505-2E9C-101B-9397-08002B2CF9AE}" pid="3" name="MSIP_Label_0fe51ac3-344e-4d7e-82a2-d6ed2fbd0340_SetDate">
    <vt:lpwstr>2025-04-22T11:10:33Z</vt:lpwstr>
  </property>
  <property fmtid="{D5CDD505-2E9C-101B-9397-08002B2CF9AE}" pid="4" name="MSIP_Label_0fe51ac3-344e-4d7e-82a2-d6ed2fbd0340_Method">
    <vt:lpwstr>Privileged</vt:lpwstr>
  </property>
  <property fmtid="{D5CDD505-2E9C-101B-9397-08002B2CF9AE}" pid="5" name="MSIP_Label_0fe51ac3-344e-4d7e-82a2-d6ed2fbd0340_Name">
    <vt:lpwstr>Public</vt:lpwstr>
  </property>
  <property fmtid="{D5CDD505-2E9C-101B-9397-08002B2CF9AE}" pid="6" name="MSIP_Label_0fe51ac3-344e-4d7e-82a2-d6ed2fbd0340_SiteId">
    <vt:lpwstr>1f7c1878-7408-4f86-b429-cf17f96a717c</vt:lpwstr>
  </property>
  <property fmtid="{D5CDD505-2E9C-101B-9397-08002B2CF9AE}" pid="7" name="MSIP_Label_0fe51ac3-344e-4d7e-82a2-d6ed2fbd0340_ActionId">
    <vt:lpwstr>a61eba64-ddbb-457e-8e67-99b70f4ec575</vt:lpwstr>
  </property>
  <property fmtid="{D5CDD505-2E9C-101B-9397-08002B2CF9AE}" pid="8" name="MSIP_Label_0fe51ac3-344e-4d7e-82a2-d6ed2fbd0340_ContentBits">
    <vt:lpwstr>2</vt:lpwstr>
  </property>
  <property fmtid="{D5CDD505-2E9C-101B-9397-08002B2CF9AE}" pid="9" name="MSIP_Label_0fe51ac3-344e-4d7e-82a2-d6ed2fbd0340_Tag">
    <vt:lpwstr>10, 0, 1, 1</vt:lpwstr>
  </property>
</Properties>
</file>