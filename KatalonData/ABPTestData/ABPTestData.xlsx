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029"/>
  <workbookPr/>
  <mc:AlternateContent>
    <mc:Choice Requires="x15">
      <x15ac:absPath xmlns:x15ac="http://schemas.microsoft.com/office/spreadsheetml/2010/11/ac" url="C:\Users\t470258\Documents\VPS-Katalon\KatalonData\ABPTestData\"/>
    </mc:Choice>
  </mc:AlternateContent>
  <xr:revisionPtr documentId="13_ncr:1_{57A52135-CCF2-4101-8516-0F507AB366ED}" revIDLastSave="0" xr10:uidLastSave="{00000000-0000-0000-0000-000000000000}" xr6:coauthVersionLast="47" xr6:coauthVersionMax="47"/>
  <bookViews>
    <workbookView activeTab="19" firstSheet="18"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<sst xmlns="http://schemas.openxmlformats.org/spreadsheetml/2006/main" count="504" uniqueCount="134">
  <si>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</si>
  <si>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</si>
  <si>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</si>
  <si>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</si>
  <si>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</si>
  <si>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</si>
  <si>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</si>
  <si>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</si>
  <si>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</si>
  <si>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</si>
  <si>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</si>
  <si>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</si>
  <si>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</si>
  <si>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</si>
  <si>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</si>
  <si>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</si>
  <si>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</si>
  <si>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</si>
  <si>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</si>
  <si>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</si>
  <si>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</si>
  <si>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</si>
  <si>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</si>
  <si>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</si>
  <si>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</si>
  <si>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</si>
  <si>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</si>
  <si>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</si>
  <si>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</si>
  <si>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</si>
  <si>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</si>
  <si>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</si>
  <si>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</si>
  <si>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</si>
  <si>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</si>
  <si>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</si>
  <si>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</si>
  <si>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</si>
  <si>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</si>
  <si>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</si>
  <si>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</si>
  <si>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</si>
  <si>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</si>
  <si>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</si>
  <si>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</si>
  <si>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</si>
  <si>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</si>
  <si>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</si>
  <si>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</si>
  <si>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</si>
  <si>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 must be at least 6 characters long.</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</si>
  <si>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</si>
  <si>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</si>
  <si>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</si>
  <si>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</si>
  <si>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</si>
  <si>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</si>
  <si>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</si>
  <si>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</si>
  <si>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</si>
  <si>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</si>
  <si>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</si>
  <si>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</si>
  <si>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</si>
  <si>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</si>
  <si>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</si>
  <si>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</si>
  <si>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</si>
  <si>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</si>
  <si>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Thu Oct 30 10:51:41 IST 2025</t>
  </si>
  <si>
    <t>Thu Oct 30 10:52:02 IST 2025</t>
  </si>
  <si>
    <t>Thu Oct 30 10:52:21 IST 2025</t>
  </si>
  <si>
    <t>Thu Oct 30 10:53:59 IST 2025</t>
  </si>
  <si>
    <t>Thu Oct 30 10:54:45 IST 2025</t>
  </si>
  <si>
    <t>Thu Oct 30 10:55:02 IST 2025</t>
  </si>
  <si>
    <t>Thu Oct 30 10:55:41 IST 2025</t>
  </si>
  <si>
    <t>Thu Oct 30 10:56:31 IST 2025</t>
  </si>
  <si>
    <t>Thu Oct 30 10:59:53 IST 2025</t>
  </si>
  <si>
    <t>Thu Oct 30 11:00:34 IST 2025</t>
  </si>
  <si>
    <t>Thu Oct 30 11:01:45 IST 2025</t>
  </si>
  <si>
    <t>Thu Oct 30 11:03:22 IST 2025</t>
  </si>
  <si>
    <t>Thu Oct 30 11:03:52 IST 2025</t>
  </si>
  <si>
    <t>Thu Oct 30 11:04:22 IST 2025</t>
  </si>
  <si>
    <t>Thu Oct 30 11:04:53 IST 2025</t>
  </si>
  <si>
    <t>Thu Oct 30 21:46:17 IST 2025</t>
  </si>
  <si>
    <t>Fri Oct 31 21:00:36 IST 2025</t>
  </si>
  <si>
    <t/>
  </si>
  <si>
    <t>Fri Dec 12 16:53:57 IST 2025</t>
  </si>
  <si>
    <t>Fri Dec 12 17:45:47 IST 2025</t>
  </si>
  <si>
    <t>Fri Dec 12 18:44:21 IST 2025</t>
  </si>
  <si>
    <t>Fri Dec 12 18:47:10 IST 2025</t>
  </si>
  <si>
    <t>Mon Dec 15 16:30:22 IST 2025</t>
  </si>
  <si>
    <t>Fri Dec 26 20:07:52 IST 2025</t>
  </si>
  <si>
    <t>Fri Dec 26 20:08:14 IST 2025</t>
  </si>
  <si>
    <t>Fri Dec 26 20:08:35 IST 2025</t>
  </si>
  <si>
    <t>Fri Dec 26 20:10:29 IST 2025</t>
  </si>
  <si>
    <t>Fri Dec 26 20:11:17 IST 2025</t>
  </si>
  <si>
    <t>Fri Dec 26 20:11:42 IST 2025</t>
  </si>
  <si>
    <t>Fri Dec 26 20:12:24 IST 2025</t>
  </si>
  <si>
    <t>Fri Dec 26 20:13:05 IST 2025</t>
  </si>
  <si>
    <t>Fri Dec 26 20:13:52 IST 2025</t>
  </si>
  <si>
    <t>Fri Dec 26 20:16:46 IST 2025</t>
  </si>
  <si>
    <t>Fri Dec 26 20:17:29 IST 2025</t>
  </si>
  <si>
    <t>Fri Dec 26 20:18:11 IST 2025</t>
  </si>
  <si>
    <t>Fri Dec 26 20:19:06 IST 2025</t>
  </si>
  <si>
    <t>Fri Dec 26 20:20:38 IST 2025</t>
  </si>
  <si>
    <t>Fri Dec 26 20:21:17 IST 2025</t>
  </si>
  <si>
    <t>Fri Dec 26 20:21:49 IST 2025</t>
  </si>
  <si>
    <t>Fri Dec 26 20:22:27 IST 2025</t>
  </si>
  <si>
    <t>Fri Jan 09 17:02:29 IST 2026</t>
  </si>
  <si>
    <t>Tue Mar 10 02:21:50 IST 2026</t>
  </si>
  <si>
    <t>Tue Mar 10 02:22:38 IST 2026</t>
  </si>
  <si>
    <t>Tue Mar 10 02:22:58 IST 2026</t>
  </si>
  <si>
    <t>Tue Mar 10 02:24:47 IST 2026</t>
  </si>
  <si>
    <t>Tue Mar 10 02:25:34 IST 2026</t>
  </si>
  <si>
    <t>Tue Mar 10 02:25:56 IST 2026</t>
  </si>
  <si>
    <t>Tue Mar 10 02:26:38 IST 2026</t>
  </si>
  <si>
    <t>Tue Mar 10 02:27:20 IST 2026</t>
  </si>
  <si>
    <t>Tue Mar 10 02:28:03 IST 2026</t>
  </si>
  <si>
    <t>Tue Mar 10 02:31:01 IST 2026</t>
  </si>
  <si>
    <t>Tue Mar 10 02:31:40 IST 2026</t>
  </si>
  <si>
    <t>Tue Mar 10 02:32:19 IST 2026</t>
  </si>
  <si>
    <t>Tue Mar 10 02:33:13 IST 2026</t>
  </si>
  <si>
    <t>Tue Mar 10 02:34:43 IST 2026</t>
  </si>
  <si>
    <t>Tue Mar 10 02:35:17 IST 2026</t>
  </si>
  <si>
    <t>Tue Mar 10 02:35:47 IST 2026</t>
  </si>
  <si>
    <t>Tue Mar 10 02:36:21 IST 2026</t>
  </si>
  <si>
    <t>Tue Mar 10 21:25:32 IST 2026</t>
  </si>
  <si>
    <t>Tue Mar 10 21:27:17 IST 2026</t>
  </si>
  <si>
    <t>Tue Mar 10 21:29:02 IST 2026</t>
  </si>
  <si>
    <t>Tue Mar 10 21:30:32 IST 2026</t>
  </si>
  <si>
    <t>Tue Mar 10 21:32:54 IST 2026</t>
  </si>
  <si>
    <t>Tue Mar 10 22:35:05 IST 2026</t>
  </si>
  <si>
    <t>Tue Mar 10 22:40:41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</si>
</sst>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v>13</v>
      </c>
      <c r="E3" s="1" t="s">
        <v>9</v>
      </c>
      <c r="F3" s="1">
        <v>30190709</v>
      </c>
      <c r="G3" s="1">
        <v>300001</v>
      </c>
      <c r="H3" s="1">
        <v>300002</v>
      </c>
      <c r="I3" t="s">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I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v>1</v>
      </c>
      <c r="F2">
        <v>1</v>
      </c>
      <c r="G2">
        <v>3</v>
      </c>
      <c r="H2">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L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v>34</v>
      </c>
      <c r="B2" t="s">
        <v>36</v>
      </c>
      <c r="C2" s="4"/>
      <c r="D2" s="3" t="s">
        <v>8</v>
      </c>
      <c r="E2" s="3" t="s">
        <v>27</v>
      </c>
      <c r="F2" s="3" t="s">
        <v>28</v>
      </c>
      <c r="G2" s="4">
        <v>1</v>
      </c>
      <c r="H2" s="4"/>
      <c r="I2" s="4">
        <v>1</v>
      </c>
      <c r="J2" s="4">
        <v>3</v>
      </c>
      <c r="K2" s="4">
        <v>6</v>
      </c>
    </row>
    <row r="3" spans="1:11" x14ac:dyDescent="0.35">
      <c r="A3" t="s">
        <v>34</v>
      </c>
      <c r="B3" t="s">
        <v>37</v>
      </c>
      <c r="C3" s="4"/>
      <c r="D3" s="3" t="s">
        <v>8</v>
      </c>
      <c r="E3" s="4"/>
      <c r="F3" s="4">
        <v>1</v>
      </c>
      <c r="G3" s="4">
        <v>1</v>
      </c>
      <c r="H3" s="4"/>
      <c r="I3" s="4">
        <v>2</v>
      </c>
      <c r="J3" s="4"/>
      <c r="K3" s="4">
        <v>6</v>
      </c>
    </row>
    <row r="4" spans="1:11" x14ac:dyDescent="0.35">
      <c r="A4" t="s">
        <v>34</v>
      </c>
      <c r="B4" t="s">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K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K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v>34</v>
      </c>
      <c r="B2" t="s">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J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v>34</v>
      </c>
      <c r="B2" t="s">
        <v>112</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F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v>34</v>
      </c>
      <c r="B2" t="s">
        <v>133</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F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v>34</v>
      </c>
      <c r="B2" t="s">
        <v>121</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H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v>34</v>
      </c>
      <c r="B2" t="s">
        <v>123</v>
      </c>
      <c r="C2" s="12"/>
      <c r="D2" s="12" t="s">
        <v>8</v>
      </c>
      <c r="E2" s="4" t="s">
        <v>12</v>
      </c>
      <c r="F2" t="s">
        <v>43</v>
      </c>
      <c r="G2" s="14" t="s">
        <v>49</v>
      </c>
    </row>
    <row ht="29" r="3" spans="1:7" x14ac:dyDescent="0.35">
      <c r="A3" t="s">
        <v>34</v>
      </c>
      <c r="B3" t="s">
        <v>124</v>
      </c>
      <c r="D3" t="s">
        <v>8</v>
      </c>
      <c r="E3" t="s">
        <v>45</v>
      </c>
      <c r="G3" s="14" t="s">
        <v>47</v>
      </c>
    </row>
    <row r="4" spans="1:7" x14ac:dyDescent="0.35">
      <c r="A4" t="s">
        <v>34</v>
      </c>
      <c r="B4" t="s">
        <v>125</v>
      </c>
      <c r="D4" t="s">
        <v>8</v>
      </c>
      <c r="E4" t="s">
        <v>48</v>
      </c>
      <c r="G4" t="s">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H2"/>
  <sheetViews>
    <sheetView workbookViewId="0">
      <selection sqref="A1:G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51</v>
      </c>
    </row>
    <row r="2" spans="1:7" x14ac:dyDescent="0.35">
      <c r="A2" t="s">
        <v>34</v>
      </c>
      <c r="B2" t="s">
        <v>126</v>
      </c>
      <c r="C2" s="12"/>
      <c r="D2" s="12" t="s">
        <v>8</v>
      </c>
      <c r="E2" s="4" t="s">
        <v>43</v>
      </c>
      <c r="F2" t="s">
        <v>50</v>
      </c>
      <c r="G2" t="s">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N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261" r="2" spans="1:13" x14ac:dyDescent="0.35">
      <c r="A2" t="s">
        <v>34</v>
      </c>
      <c r="B2" t="s">
        <v>111</v>
      </c>
      <c r="C2" s="12"/>
      <c r="D2" s="12" t="s">
        <v>8</v>
      </c>
      <c r="E2" s="4" t="s">
        <v>43</v>
      </c>
      <c r="F2" s="15" t="s">
        <v>55</v>
      </c>
      <c r="G2" t="s">
        <v>12</v>
      </c>
      <c r="H2" s="14" t="s">
        <v>52</v>
      </c>
      <c r="I2" t="s">
        <v>53</v>
      </c>
      <c r="J2" t="s">
        <v>54</v>
      </c>
      <c r="K2" s="14" t="s">
        <v>23</v>
      </c>
      <c r="L2" t="s">
        <v>24</v>
      </c>
      <c r="M2">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N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51</v>
      </c>
      <c r="H1" s="13" t="s">
        <v>16</v>
      </c>
      <c r="I1" s="13" t="s">
        <v>14</v>
      </c>
      <c r="J1" s="13" t="s">
        <v>15</v>
      </c>
      <c r="K1" s="13" t="s">
        <v>17</v>
      </c>
      <c r="L1" s="13" t="s">
        <v>19</v>
      </c>
      <c r="M1" s="13" t="s">
        <v>18</v>
      </c>
    </row>
    <row ht="159.5" r="2" spans="1:13" x14ac:dyDescent="0.35">
      <c r="A2" t="s">
        <v>34</v>
      </c>
      <c r="B2" t="s">
        <v>110</v>
      </c>
      <c r="C2" s="12"/>
      <c r="D2" s="12" t="s">
        <v>8</v>
      </c>
      <c r="E2" s="4" t="s">
        <v>43</v>
      </c>
      <c r="F2" s="15" t="s">
        <v>66</v>
      </c>
      <c r="G2" t="s">
        <v>12</v>
      </c>
      <c r="H2" s="14" t="s">
        <v>52</v>
      </c>
      <c r="I2" t="s">
        <v>53</v>
      </c>
      <c r="J2" t="s">
        <v>54</v>
      </c>
      <c r="K2" s="14" t="s">
        <v>23</v>
      </c>
      <c r="L2" t="s">
        <v>24</v>
      </c>
      <c r="M2">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H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51</v>
      </c>
    </row>
    <row ht="116" r="2" spans="1:7" x14ac:dyDescent="0.35">
      <c r="A2" t="s">
        <v>34</v>
      </c>
      <c r="B2" t="s">
        <v>114</v>
      </c>
      <c r="C2" s="12"/>
      <c r="D2" s="12" t="s">
        <v>8</v>
      </c>
      <c r="E2" s="4" t="s">
        <v>43</v>
      </c>
      <c r="F2" s="15" t="s">
        <v>67</v>
      </c>
      <c r="G2" t="s">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L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57</v>
      </c>
      <c r="G1" s="13" t="s">
        <v>5</v>
      </c>
      <c r="H1" s="13" t="s">
        <v>25</v>
      </c>
      <c r="I1" s="13" t="s">
        <v>60</v>
      </c>
      <c r="J1" s="13" t="s">
        <v>10</v>
      </c>
      <c r="K1" s="13" t="s">
        <v>59</v>
      </c>
    </row>
    <row ht="362.5" r="2" spans="1:11" x14ac:dyDescent="0.35">
      <c r="A2" t="s">
        <v>34</v>
      </c>
      <c r="B2" t="s">
        <v>128</v>
      </c>
      <c r="C2" s="12"/>
      <c r="D2" s="12" t="s">
        <v>8</v>
      </c>
      <c r="E2" s="4" t="s">
        <v>43</v>
      </c>
      <c r="F2" s="15" t="s">
        <v>61</v>
      </c>
      <c r="G2" s="15" t="str">
        <f ca="1">TEXT(TODAY()+1,"mm/dd/yyyy")</f>
        <v>11/04/2025</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11/04/2025,A Convenience Fee will be added to each transaction issued for 1 Daily payment of 0.00 starting on 11/04/2025</v>
      </c>
      <c r="K2" s="14" t="str">
        <f ca="1">"A Convenience Fee will be added to each transaction issued for 1 Daily payment of "&amp;  TEXT(I2,"0.00")&amp;" starting on "&amp;G2</f>
        <v>A Convenience Fee will be added to each transaction issued for 1 Daily payment of 0.00 starting on 11/04/2025</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L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132</v>
      </c>
      <c r="C2" s="12"/>
      <c r="D2" s="12" t="s">
        <v>8</v>
      </c>
      <c r="E2" s="4" t="s">
        <v>43</v>
      </c>
      <c r="F2" s="15" t="s">
        <v>63</v>
      </c>
      <c r="G2" s="15" t="str">
        <f ca="1">TEXT(TODAY()+1,"mm/dd/yyyy")</f>
        <v>11/04/2025</v>
      </c>
      <c r="H2" s="18">
        <v>10</v>
      </c>
      <c r="I2" s="17">
        <v>0</v>
      </c>
      <c r="J2" s="16" t="str">
        <f ca="1">F2&amp;TEXT(H2,"0.00")&amp;" on "&amp;G2&amp;","&amp;K2</f>
        <v>Select Payment Plan Frequency,
Deferred,
Select the date you wish to submit your payment,
Step 4: Review Payment Plan,
1 Deferred payment of $10.00 on 11/04/2025,A Convenience Fee will be added to each transaction issued for 1 Deferred payment of 0.00 starting on 11/04/2025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11/04/2025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L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57</v>
      </c>
      <c r="G1" s="13" t="s">
        <v>5</v>
      </c>
      <c r="H1" s="13" t="s">
        <v>25</v>
      </c>
      <c r="I1" s="13" t="s">
        <v>60</v>
      </c>
      <c r="J1" s="13" t="s">
        <v>10</v>
      </c>
      <c r="K1" s="13" t="s">
        <v>59</v>
      </c>
    </row>
    <row ht="304.5" r="2" spans="1:11" x14ac:dyDescent="0.35">
      <c r="A2" t="s">
        <v>34</v>
      </c>
      <c r="B2" t="s">
        <v>131</v>
      </c>
      <c r="C2" s="12"/>
      <c r="D2" s="12" t="s">
        <v>8</v>
      </c>
      <c r="E2" s="4" t="s">
        <v>43</v>
      </c>
      <c r="F2" s="15" t="s">
        <v>65</v>
      </c>
      <c r="G2" s="15" t="str">
        <f ca="1">TEXT(TODAY()+1,"mm/dd/yyyy")</f>
        <v>11/04/2025</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11/04/2025,A Convenience Fee will be added to each transaction issued for Daily payment of 0.00 starting on 11/04/2025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11/04/2025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G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v>34</v>
      </c>
      <c r="B2" t="s">
        <v>113</v>
      </c>
      <c r="C2" s="12"/>
      <c r="D2" s="12" t="s">
        <v>8</v>
      </c>
      <c r="E2" s="4" t="s">
        <v>43</v>
      </c>
      <c r="F2" s="15" t="s">
        <v>64</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H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57</v>
      </c>
      <c r="G1" s="13" t="s">
        <v>10</v>
      </c>
    </row>
    <row ht="246.5" r="2" spans="1:7" x14ac:dyDescent="0.35">
      <c r="A2" t="s">
        <v>34</v>
      </c>
      <c r="B2" t="s">
        <v>129</v>
      </c>
      <c r="C2" s="12"/>
      <c r="D2" s="12" t="s">
        <v>8</v>
      </c>
      <c r="E2" s="4" t="s">
        <v>43</v>
      </c>
      <c r="F2" s="15" t="s">
        <v>58</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11/04/2025</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H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57</v>
      </c>
      <c r="G1" s="13" t="s">
        <v>10</v>
      </c>
    </row>
    <row ht="159.5" r="2" spans="1:7" x14ac:dyDescent="0.35">
      <c r="A2" t="s">
        <v>34</v>
      </c>
      <c r="B2" t="s">
        <v>127</v>
      </c>
      <c r="C2" s="12"/>
      <c r="D2" s="12" t="s">
        <v>8</v>
      </c>
      <c r="E2" s="4" t="s">
        <v>43</v>
      </c>
      <c r="F2" s="15" t="s">
        <v>68</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11/04/2025</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K2"/>
  <sheetViews>
    <sheetView tabSelected="1"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57</v>
      </c>
      <c r="F1" s="13" t="s">
        <v>5</v>
      </c>
      <c r="G1" s="13" t="s">
        <v>25</v>
      </c>
      <c r="H1" s="13" t="s">
        <v>60</v>
      </c>
      <c r="I1" s="13" t="s">
        <v>10</v>
      </c>
      <c r="J1" s="13" t="s">
        <v>59</v>
      </c>
    </row>
    <row ht="232" r="2" spans="1:10" x14ac:dyDescent="0.35">
      <c r="A2" t="s">
        <v>34</v>
      </c>
      <c r="B2" t="s">
        <v>130</v>
      </c>
      <c r="C2" s="12"/>
      <c r="D2" s="12" t="s">
        <v>8</v>
      </c>
      <c r="E2" s="15" t="s">
        <v>62</v>
      </c>
      <c r="F2" s="15" t="str">
        <f ca="1">TEXT(TODAY()+1,"mm/dd/yyyy")</f>
        <v>11/04/2025</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11/04/2025,A Convenience Fee will be added to each transaction issued for 1 Deferred payment of 0.00 starting on 11/04/2025</v>
      </c>
      <c r="J2" s="14" t="str">
        <f ca="1">"A Convenience Fee will be added to each transaction issued for 1 Deferred payment of "&amp;  TEXT(H2,"0.00")&amp;" starting on "&amp;F2</f>
        <v>A Convenience Fee will be added to each transaction issued for 1 Deferred payment of 0.00 starting on 11/04/2025</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Bharat Bhushan</cp:lastModifiedBy>
  <dcterms:modified xsi:type="dcterms:W3CDTF">2025-11-03T16:18:58Z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