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t470258\Documents\VPS-Katalon\KatalonData\ABPTestDataDemo\"/>
    </mc:Choice>
  </mc:AlternateContent>
  <xr:revisionPtr documentId="13_ncr:1_{A88AE932-05B6-4246-B80A-ACCF56A2C3C5}" revIDLastSave="0" xr10:uidLastSave="{00000000-0000-0000-0000-000000000000}" xr6:coauthVersionLast="47" xr6:coauthVersionMax="47"/>
  <bookViews>
    <workbookView activeTab="5" firstSheet="5" windowHeight="11500" windowWidth="19420" xWindow="-110" xr2:uid="{00000000-000D-0000-FFFF-FFFF00000000}" yWindow="-110"/>
  </bookViews>
  <sheets>
    <sheet name="CVCSPDCFCorp_IPDailyNOP" r:id="rId1" sheetId="1"/>
    <sheet name="CVCSPDCFPS_IPDailyIA" r:id="rId2" sheetId="4"/>
    <sheet name="CVCSPDCFCorp_IPDailyIA" r:id="rId3" sheetId="5"/>
    <sheet name="CVCSPDCFPS_IPDeferred" r:id="rId4" sheetId="6"/>
    <sheet name="CVCSPDCFCorp_IPDeferred" r:id="rId5" sheetId="7"/>
    <sheet name="CVCSPDCFPS_RecDeferred" r:id="rId6" sheetId="8"/>
    <sheet name="CVCSPDCFCorp_RecDeferred" r:id="rId7" sheetId="9"/>
    <sheet name="CVCSPDCFPS_RecDaily" r:id="rId8" sheetId="10"/>
    <sheet name="CVCSPDCFCorp_RecDaily" r:id="rId9" sheetId="11"/>
    <sheet name="CVCSPDCFPS_IPDailyNOP" r:id="rId10" sheetId="1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12" l="1" r="L2"/>
  <c i="12" r="P2" s="1"/>
  <c i="12" r="O2" s="1"/>
  <c i="12" r="G2"/>
  <c i="10" r="G2"/>
  <c i="10" r="L2"/>
  <c i="10" r="P2" s="1"/>
  <c i="11" r="L2"/>
  <c i="11" r="G2"/>
  <c i="11" r="P2"/>
  <c i="8" r="L2"/>
  <c i="8" r="G2"/>
  <c i="8" r="P2"/>
  <c i="9" r="G2"/>
  <c i="9" r="L2"/>
  <c i="9" r="P2" s="1"/>
  <c i="7" r="G2"/>
  <c i="7" r="L2"/>
  <c i="7" r="P2" s="1"/>
  <c i="7" r="O2" s="1"/>
  <c i="6" r="L2"/>
  <c i="6" r="G2"/>
  <c i="6" r="P2"/>
  <c i="4" r="L2"/>
  <c i="4" r="P2" s="1"/>
  <c i="5" r="L2"/>
  <c i="5" r="G2"/>
  <c i="5" r="P2"/>
  <c i="5" r="O2" s="1"/>
  <c i="4" r="G2"/>
  <c i="1" r="L2"/>
  <c i="1" r="P2" s="1"/>
  <c i="1" r="O2" s="1"/>
  <c i="1" r="G2"/>
  <c i="11" l="1" r="O2"/>
  <c i="10" r="O2"/>
  <c i="8" r="O2"/>
  <c i="9" r="O2"/>
  <c i="6" r="O2"/>
  <c i="4" r="O2"/>
</calcChain>
</file>

<file path=xl/sharedStrings.xml><?xml version="1.0" encoding="utf-8"?>
<sst xmlns="http://schemas.openxmlformats.org/spreadsheetml/2006/main" count="509" uniqueCount="110">
  <si>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</si>
  <si>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</si>
  <si>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</si>
  <si>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</si>
  <si>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</si>
  <si>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</si>
  <si>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</si>
  <si>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</si>
  <si>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</si>
  <si>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</si>
  <si>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</si>
  <si>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</si>
  <si>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</si>
  <si>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</si>
  <si>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</si>
  <si>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</si>
  <si>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</si>
  <si>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</si>
  <si>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InstallmentPlan</t>
  </si>
  <si>
    <t>Daily</t>
  </si>
  <si>
    <t>NumberOfPayments</t>
  </si>
  <si>
    <t>Mon Sep 15 19:27:26 IST 2025</t>
  </si>
  <si>
    <t>IndividualAmount</t>
  </si>
  <si>
    <t>Deferred</t>
  </si>
  <si>
    <t>RecurringAmount</t>
  </si>
  <si>
    <t>Fri Dec 26 20:56:47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</si>
  <si>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,****5489,
Billing Address:,	1645 FOX ST,
Concover, New York NY 28613,
Country:,	UNITED STATES,
Account Type:,	Business Checking,
3. Payment Plan Information,
Payment Plan Type:,	Installment Plan,
Payment Plan Duration:,	Daily,
Payment Plan Start Date:,	
4. Payment Plan,1 Daily payment of $</t>
  </si>
  <si>
    <t>Tue Dec 30 22:15:08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</si>
  <si>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Installment Plan,
Payment Plan Duration:,	Daily,
Payment Plan Start Date:,	
4. Payment Plan,1 Daily payment of $</t>
  </si>
  <si>
    <t>Tue Dec 30 22:29:06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</si>
  <si>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Installment Plan,
Payment Plan Duration:,	Deferred,
Payment Plan Start Date:,	
4. Payment Plan,1 Deferred payment of $</t>
  </si>
  <si>
    <t>Tue Dec 30 22:39:49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</si>
  <si>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Recurring,
Payment Plan Duration:,	Daily,
Payment Plan Start Date:,	
4. Payment Plan, Daily payments of $</t>
  </si>
  <si>
    <t>Tue Dec 30 22:45:07 IST 2025</t>
  </si>
  <si>
    <t>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Recurring,
Payment Plan Duration:,	Deferred,
Payment Plan Start Date:,	
4. Payment Plan,1 Deferred payment of $</t>
  </si>
  <si>
    <t>Tue Dec 30 22:50:48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</si>
  <si>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Installment Plan,
Payment Plan Duration:,	Daily,
Payment Plan Start Date:,	
4. Payment Plan,1 Daily payment of $</t>
  </si>
  <si>
    <t>Wed Dec 31 20:42:21 IST 2025</t>
  </si>
  <si>
    <t>Wed Dec 31 20:59:29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</si>
  <si>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Installment Plan,
Payment Plan Duration:,	Deferred,
Payment Plan Start Date:,	
4. Payment Plan,1 Deferred payment of $</t>
  </si>
  <si>
    <t>Wed Dec 31 21:04:25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</si>
  <si>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Recurring,
Payment Plan Duration:,	Daily,
Payment Plan Start Date:,	
4. Payment Plan, Daily payments of $</t>
  </si>
  <si>
    <t>Wed Dec 31 21:10:31 IST 2025</t>
  </si>
  <si>
    <t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Recurring,
Payment Plan Duration:,	Deferred,
Payment Plan Start Date:,	
4. Payment Plan,1 Deferred payment of $</t>
  </si>
  <si>
    <t/>
  </si>
  <si>
    <t>Wed Dec 31 21:16:58 IST 2025</t>
  </si>
  <si>
    <t>Tue Jul 07 00:00:45 IST 2026</t>
  </si>
  <si>
    <t>Tue Jul 07 00:01:51 IST 2026</t>
  </si>
  <si>
    <t>Tue Jul 07 00:03:12 IST 2026</t>
  </si>
  <si>
    <t>Tue Jul 07 00:04:32 IST 2026</t>
  </si>
  <si>
    <t>Tue Jul 07 00:06:16 IST 2026</t>
  </si>
  <si>
    <t>Tue Jul 07 00:07:09 IST 2026</t>
  </si>
  <si>
    <t>Tue Jul 07 00:07:56 IST 2026</t>
  </si>
  <si>
    <t>Tue Jul 07 00:08:45 IST 2026</t>
  </si>
  <si>
    <t>Tue Jul 07 00:09:34 IST 2026</t>
  </si>
  <si>
    <t>Tue Jul 07 00:10:20 IST 2026</t>
  </si>
  <si>
    <t>Tue Jul 07 00:11:10 IST 2026</t>
  </si>
  <si>
    <t>Tue Jul 07 00:11:51 IST 2026</t>
  </si>
  <si>
    <t>Tue Jul 07 00:12:41 IST 2026</t>
  </si>
  <si>
    <t>Tue Jul 07 00:13:32 IST 2026</t>
  </si>
  <si>
    <t>Tue Jul 07 00:14:19 IST 2026</t>
  </si>
  <si>
    <t>Tue Jul 07 00:16:19 IST 2026</t>
  </si>
  <si>
    <t>Tue Jul 07 00:17:09 IST 2026</t>
  </si>
  <si>
    <t>Tue Jul 07 00:18:03 IST 2026</t>
  </si>
  <si>
    <t>Tue Jul 07 00:18:59 IST 2026</t>
  </si>
  <si>
    <t>Tue Jul 07 00:19:49 IST 2026</t>
  </si>
  <si>
    <t>Tue Jul 07 00:35:01 IST 2026</t>
  </si>
  <si>
    <t>Tue Jul 07 00:35:48 IST 2026</t>
  </si>
  <si>
    <t>Tue Jul 07 00:36:42 IST 2026</t>
  </si>
  <si>
    <t>Tue Jul 07 00:37:37 IST 2026</t>
  </si>
  <si>
    <t>Tue Jul 07 00:38:26 IST 2026</t>
  </si>
  <si>
    <t>Tue Jul 07 00:39:12 IST 2026</t>
  </si>
  <si>
    <t>Tue Jul 07 00:40:02 IST 2026</t>
  </si>
  <si>
    <t>Tue Jul 07 00:40:48 IST 2026</t>
  </si>
  <si>
    <t>Tue Jul 07 00:41:33 IST 2026</t>
  </si>
  <si>
    <t>Tue Jul 07 00:43:21 IST 2026</t>
  </si>
  <si>
    <t>Tue Jul 07 00:44:09 IST 2026</t>
  </si>
  <si>
    <t>Tue Jul 07 00:44:59 IST 2026</t>
  </si>
  <si>
    <t>Tue Jul 07 00:45:43 IST 2026</t>
  </si>
  <si>
    <t>Tue Jul 07 00:46:29 IST 2026</t>
  </si>
  <si>
    <t>Tue Jul 07 00:47:09 IST 2026</t>
  </si>
  <si>
    <t>Tue Jul 07 00:47:50 IST 2026</t>
  </si>
  <si>
    <t>Tue Jul 07 00:48:35 IST 2026</t>
  </si>
  <si>
    <t>Tue Jul 07 00:49:19 IST 2026</t>
  </si>
  <si>
    <t>Tue Jul 07 00:50:03 IST 2026</t>
  </si>
  <si>
    <t>Tue Jul 07 00:50:53 IST 2026</t>
  </si>
  <si>
    <t>Fri Jul 24 17:36:14 IST 2026</t>
  </si>
  <si>
    <t>Fri Jul 24 17:38:15 IST 2026</t>
  </si>
  <si>
    <t>Fri Jul 24 17:39:38 IST 2026</t>
  </si>
  <si>
    <t>Fri Jul 24 17:42:00 IST 2026</t>
  </si>
  <si>
    <t>Fri Jul 24 17:43:53 IST 2026</t>
  </si>
  <si>
    <t>Fri Jul 24 17:45:54 IST 2026</t>
  </si>
  <si>
    <t>Fri Jul 24 17:53:47 IST 2026</t>
  </si>
  <si>
    <t>Fri Jul 24 17:55:12 IST 2026</t>
  </si>
  <si>
    <t>Fri Jul 24 17:56:18 IST 2026</t>
  </si>
  <si>
    <t>Fri Jul 24 17:58:55 IST 2026</t>
  </si>
  <si>
    <t>Fri Jul 24 18:00:36 IST 2026</t>
  </si>
  <si>
    <t>Wed Oct 07 23:03:46 IST 2026</t>
  </si>
  <si>
    <t>Wed Oct 07 23:04:12 IST 2026</t>
  </si>
  <si>
    <t>Wed Oct 07 23:04:38 IST 2026</t>
  </si>
  <si>
    <t>Wed Oct 07 23:05:27 IST 2026</t>
  </si>
  <si>
    <t>Wed Oct 07 23:06:10 IST 2026</t>
  </si>
  <si>
    <t>Wed Oct 07 23:06:50 IST 2026</t>
  </si>
  <si>
    <t>Wed Oct 07 23:07:22 IST 2026</t>
  </si>
  <si>
    <t>Wed Oct 07 23:12:49 IST 2026</t>
  </si>
  <si>
    <t>Wed Oct 07 23:13:26 IST 2026</t>
  </si>
  <si>
    <t>Wed Oct 07 23:13:50 IST 2026</t>
  </si>
  <si>
    <t>Wed Oct 07 23:14:21 IST 2026</t>
  </si>
  <si>
    <t>Wed Oct 07 23:14:54 IST 2026</t>
  </si>
  <si>
    <t>Wed Oct 07 23:15:33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</si>
</sst>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borderId="0" fillId="0" fontId="0" numFmtId="0"/>
  </cellStyleXfs>
  <cellXfs count="11">
    <xf borderId="0" fillId="0" fontId="0" numFmtId="0" xfId="0"/>
    <xf applyAlignment="1" applyBorder="1" applyNumberFormat="1" borderId="1" fillId="0" fontId="0" numFmtId="49" xfId="0">
      <alignment wrapText="1"/>
    </xf>
    <xf applyAlignment="1" applyFont="1" borderId="0" fillId="0" fontId="1" numFmtId="0" xfId="0">
      <alignment vertical="center"/>
    </xf>
    <xf applyAlignment="1" applyBorder="1" applyNumberFormat="1" borderId="2" fillId="0" fontId="0" numFmtId="49" xfId="0">
      <alignment wrapText="1"/>
    </xf>
    <xf applyAlignment="1" applyBorder="1" borderId="1" fillId="0" fontId="0" numFmtId="0" xfId="0">
      <alignment vertical="top" wrapText="1"/>
    </xf>
    <xf applyAlignment="1" applyBorder="1" applyNumberFormat="1" borderId="1" fillId="0" fontId="0" numFmtId="49" xfId="0">
      <alignment vertical="top" wrapText="1"/>
    </xf>
    <xf applyAlignment="1" borderId="0" fillId="0" fontId="0" numFmtId="0" xfId="0">
      <alignment vertical="top" wrapText="1"/>
    </xf>
    <xf applyAlignment="1" applyNumberFormat="1" borderId="0" fillId="0" fontId="0" numFmtId="164" xfId="0">
      <alignment vertical="top" wrapText="1"/>
    </xf>
    <xf applyAlignment="1" applyNumberFormat="1" borderId="0" fillId="0" fontId="0" numFmtId="2" xfId="0">
      <alignment vertical="top" wrapText="1"/>
    </xf>
    <xf applyAlignment="1" borderId="0" fillId="0" fontId="0" numFmtId="0" xfId="0">
      <alignment horizontal="center" vertical="top" wrapText="1"/>
    </xf>
    <xf applyAlignment="1" borderId="0" fillId="0" fontId="0" numFmtId="0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J2" sqref="J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100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20</v>
      </c>
      <c r="K2" s="6" t="s">
        <v>28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Installment Plan,
Payment Plan Duration:,	Daily,
Payment Plan Start Date:,	
4. Payment Plan,1 Daily payment of $12.00 on 01/01/2026,A Convenience Fee will be added to each transaction issued for 1 Daily payment of 2.00 starting on 01/01/2026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01/01/2026 ,Individual Convenience Fee Amount:,	
Total Convenience Fees Paid:,	
Total Paid under this plan: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416F-EAD8-4226-BA0B-0AD26ABF0604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4.8164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104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22</v>
      </c>
      <c r="K2" s="6" t="s">
        <v>36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Installment Plan,
Payment Plan Duration:,	Daily,
Payment Plan Start Date:,	
4. Payment Plan,1 Daily payment of $12.00 on 01/01/2026,A Convenience Fee will be added to each transaction issued for 1 Daily payment of 2.00 starting on 01/01/2026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7C80-3096-4B80-A8BF-99672E759DAB}">
  <dimension ref="A1:P2"/>
  <sheetViews>
    <sheetView workbookViewId="0">
      <selection activeCell="H2" sqref="H2"/>
    </sheetView>
  </sheetViews>
  <sheetFormatPr defaultRowHeight="14.5" x14ac:dyDescent="0.35"/>
  <cols>
    <col min="11" max="11" customWidth="true" width="31.3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99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22</v>
      </c>
      <c r="K2" s="6" t="s">
        <v>26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,****5489,
Billing Address:,	1645 FOX ST,
Concover, New York NY 28613,
Country:,	UNITED STATES,
Account Type:,	Business Checking,
3. Payment Plan Information,
Payment Plan Type:,	Installment Plan,
Payment Plan Duration:,	Daily,
Payment Plan Start Date:,	
4. Payment Plan,1 Daily payment of $12.00 on 01/01/2026,A Convenience Fee will be added to each transaction issued for 1 Daily payment of 2.00 starting on 01/01/2026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B6E-BC66-4CE5-A0EA-21E31C3C1269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7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107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23</v>
      </c>
      <c r="J2" t="s" s="0">
        <v>20</v>
      </c>
      <c r="K2" s="6" t="s">
        <v>39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Installment Plan,
Payment Plan Duration:,	Deferred,
Payment Plan Start Date:,	
4. Payment Plan,1 Deferred payment of $12.00 on 01/01/2026,A Convenience Fee will be added to each transaction issued for 1 Deferred payment of 2.00 starting on 01/01/2026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A858-8568-405F-B1FE-A4DB3A2B6FAB}">
  <dimension ref="A1:P2"/>
  <sheetViews>
    <sheetView topLeftCell="A2" workbookViewId="0">
      <selection activeCell="M2" sqref="M2"/>
    </sheetView>
  </sheetViews>
  <sheetFormatPr defaultRowHeight="14.5" x14ac:dyDescent="0.35"/>
  <cols>
    <col min="11" max="11" customWidth="true" width="24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101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23</v>
      </c>
      <c r="J2" t="s" s="0">
        <v>20</v>
      </c>
      <c r="K2" s="6" t="s">
        <v>30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Installment Plan,
Payment Plan Duration:,	Deferred,
Payment Plan Start Date:,	
4. Payment Plan,1 Deferred payment of $12.00 on 01/01/2026,A Convenience Fee will be added to each transaction issued for 1 Deferred payment of 2.00 starting on 01/01/2026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328A-9DEA-4031-BF6E-3E1679D9E636}">
  <dimension ref="A1:P2"/>
  <sheetViews>
    <sheetView tabSelected="1" workbookViewId="0">
      <selection activeCell="M2" sqref="M2"/>
    </sheetView>
  </sheetViews>
  <sheetFormatPr defaultRowHeight="14.5" x14ac:dyDescent="0.35"/>
  <cols>
    <col min="11" max="11" customWidth="true" width="20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109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24</v>
      </c>
      <c r="I2" t="s" s="0">
        <v>23</v>
      </c>
      <c r="J2" t="s" s="0">
        <v>20</v>
      </c>
      <c r="K2" s="6" t="s">
        <v>43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Recurring,
Payment Plan Duration:,	Deferred,
Payment Plan Start Date:,	
4. Payment Plan,1 Deferred payment of $12.00 on 01/01/2026,A Convenience Fee will be added to each transaction issued for 1 Deferred payment of 2.00 starting on 01/01/2026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5C47-9A3E-42DC-8852-58A42D0C9EFE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6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103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24</v>
      </c>
      <c r="I2" t="s" s="0">
        <v>23</v>
      </c>
      <c r="J2" t="s" s="0">
        <v>20</v>
      </c>
      <c r="K2" s="6" t="s">
        <v>34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Recurring,
Payment Plan Duration:,	Deferred,
Payment Plan Start Date:,	
4. Payment Plan,1 Deferred payment of $12.00 on 01/01/2026,A Convenience Fee will be added to each transaction issued for 1 Deferred payment of 2.00 starting on 01/01/2026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0DE0-0B5B-490D-A8EE-5AFB1CF2AE1D}">
  <dimension ref="A1:P2"/>
  <sheetViews>
    <sheetView workbookViewId="0">
      <selection activeCell="N2" sqref="N2"/>
    </sheetView>
  </sheetViews>
  <sheetFormatPr defaultRowHeight="14.5" x14ac:dyDescent="0.35"/>
  <cols>
    <col min="11" max="11" customWidth="true" width="20.17968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108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24</v>
      </c>
      <c r="I2" t="s" s="0">
        <v>19</v>
      </c>
      <c r="J2" t="s" s="0">
        <v>20</v>
      </c>
      <c r="K2" s="6" t="s">
        <v>41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starting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Recurring,
Payment Plan Duration:,	Daily,
Payment Plan Start Date:,	
4. Payment Plan, Daily payments of $12.00 starting on 01/01/2026,A Convenience Fee will be added to each transaction issued for Daily payment of 2.00 starting on 01/01/2026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E3BC-AF45-4450-AB4B-7E9300EF985A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1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102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24</v>
      </c>
      <c r="I2" t="s" s="0">
        <v>19</v>
      </c>
      <c r="J2" t="s" s="0">
        <v>20</v>
      </c>
      <c r="K2" s="6" t="s">
        <v>32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starting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Company Name:,	Vaddahun Corp,
First Name:,	TABATHA,
Last Name:,	MCGALLIARD,
Routing Number:,	****2691,
Account Number:	,****5489,
Billing Address:,	1645 FOX ST,
Concover, New York NY 28613,
Country:,	UNITED STATES,
Account Type:,	Business Checking,
3. Payment Plan Information,
Payment Plan Type:,	Recurring,
Payment Plan Duration:,	Daily,
Payment Plan Start Date:,	
4. Payment Plan, Daily payments of $12.00 starting on 01/01/2026,A Convenience Fee will be added to each transaction issued for Daily payment of 2.00 starting on 01/01/2026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AD8E-8FB3-4E0D-8FB3-58E3B5B29B16}">
  <dimension ref="A1:P2"/>
  <sheetViews>
    <sheetView workbookViewId="0">
      <selection activeCell="J2" sqref="J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106</v>
      </c>
      <c r="C2" t="s" s="0">
        <v>21</v>
      </c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20</v>
      </c>
      <c r="K2" s="6" t="s">
        <v>36</v>
      </c>
      <c r="L2" s="6" t="str">
        <f ca="1">TEXT(TODAY()+1,"mm/dd/yyyy")</f>
        <v>01/01/2026</v>
      </c>
      <c r="M2" s="7">
        <v>12</v>
      </c>
      <c r="N2" s="8">
        <v>2</v>
      </c>
      <c r="O2" s="9" t="str">
        <f ca="1">K2&amp;TEXT(M2,"0.00")&amp;" on "&amp;L2&amp;","&amp;P2</f>
        <v>Scheduled Payment--View the Information,
Remittance ID: 6211-403001,
1. Review bill to pay,
Pending Bills,	Due Date,	Date Submitted,	Date Modified,	Amount Due,	Amount to Pay,
AutoABPDemoBBGDCF6211,	 EST, 	
UDF1:,	udf data 1,
UDF2:,	udf data 2,
UDF3:,	udf3 data,
UDF4:,	udf data4,
2. Payment Method,
First Name:,	TABATHA,
Last Name:,	MCGALLIARD,
Routing Number:,	****2691,
Account Number:	,****345,
Billing Address:,	1645 FOX ST,
Concover, New York NY 28613,
Country:,	UNITED STATES,
Account Type:,	Personal Savings,
3. Payment Plan Information,
Payment Plan Type:,	Installment Plan,
Payment Plan Duration:,	Daily,
Payment Plan Start Date:,	
4. Payment Plan,1 Daily payment of $12.00 on 01/01/2026,A Convenience Fee will be added to each transaction issued for 1 Daily payment of 2.00 starting on 01/01/2026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01/01/2026 ,Individual Convenience Fee Amount:,	
Total Convenience Fees Paid:,	
Total Paid under this plan: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CVCSPDCFCorp_IPDailyNOP</vt:lpstr>
      <vt:lpstr>CVCSPDCFPS_IPDailyIA</vt:lpstr>
      <vt:lpstr>CVCSPDCFCorp_IPDailyIA</vt:lpstr>
      <vt:lpstr>CVCSPDCFPS_IPDeferred</vt:lpstr>
      <vt:lpstr>CVCSPDCFCorp_IPDeferred</vt:lpstr>
      <vt:lpstr>CVCSPDCFPS_RecDeferred</vt:lpstr>
      <vt:lpstr>CVCSPDCFCorp_RecDeferred</vt:lpstr>
      <vt:lpstr>CVCSPDCFPS_RecDaily</vt:lpstr>
      <vt:lpstr>CVCSPDCFCorp_RecDaily</vt:lpstr>
      <vt:lpstr>CVCSPDCFPS_IPDailyNOP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Bhushan, Bharat</cp:lastModifiedBy>
  <dcterms:modified xsi:type="dcterms:W3CDTF">2025-12-31T15:46:38Z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2025-09-15T13:41:03Z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f21bf80d-53c6-43c2-9af9-24d5d5b3d61f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