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mc="http://schemas.openxmlformats.org/markup-compatibility/2006" xmlns:r="http://schemas.openxmlformats.org/officeDocument/2006/relationships" xmlns:x15="http://schemas.microsoft.com/office/spreadsheetml/2010/11/main" xmlns:xr="http://schemas.microsoft.com/office/spreadsheetml/2014/revision" xmlns:xr10="http://schemas.microsoft.com/office/spreadsheetml/2016/revision10" xmlns:xr2="http://schemas.microsoft.com/office/spreadsheetml/2015/revision2" xmlns:xr6="http://schemas.microsoft.com/office/spreadsheetml/2016/revision6" mc:Ignorable="x15 xr xr6 xr10 xr2">
  <fileVersion appName="xl" lastEdited="7" lowestEdited="6" rupBuild="29328"/>
  <workbookPr/>
  <mc:AlternateContent>
    <mc:Choice Requires="x15">
      <x15ac:absPath xmlns:x15ac="http://schemas.microsoft.com/office/spreadsheetml/2010/11/ac" url="C:\Users\t470258\Documents\VPS-Katalon\KatalonData\ABPTestDataDemo\"/>
    </mc:Choice>
  </mc:AlternateContent>
  <xr:revisionPtr documentId="13_ncr:1_{A88AE932-05B6-4246-B80A-ACCF56A2C3C5}" revIDLastSave="0" xr10:uidLastSave="{00000000-0000-0000-0000-000000000000}" xr6:coauthVersionLast="47" xr6:coauthVersionMax="47"/>
  <bookViews>
    <workbookView activeTab="5" firstSheet="5" windowHeight="11500" windowWidth="19420" xWindow="-110" xr2:uid="{00000000-000D-0000-FFFF-FFFF00000000}" yWindow="-110"/>
  </bookViews>
  <sheets>
    <sheet name="CVCSPDCFCorp_IPDailyNOP" r:id="rId1" sheetId="1"/>
    <sheet name="CVCSPDCFPS_IPDailyIA" r:id="rId2" sheetId="4"/>
    <sheet name="CVCSPDCFCorp_IPDailyIA" r:id="rId3" sheetId="5"/>
    <sheet name="CVCSPDCFPS_IPDeferred" r:id="rId4" sheetId="6"/>
    <sheet name="CVCSPDCFCorp_IPDeferred" r:id="rId5" sheetId="7"/>
    <sheet name="CVCSPDCFPS_RecDeferred" r:id="rId6" sheetId="8"/>
    <sheet name="CVCSPDCFCorp_RecDeferred" r:id="rId7" sheetId="9"/>
    <sheet name="CVCSPDCFPS_RecDaily" r:id="rId8" sheetId="10"/>
    <sheet name="CVCSPDCFCorp_RecDaily" r:id="rId9" sheetId="11"/>
    <sheet name="CVCSPDCFPS_IPDailyNOP" r:id="rId10" sheetId="12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i="12" l="1" r="L2"/>
  <c i="12" r="P2" s="1"/>
  <c i="12" r="O2" s="1"/>
  <c i="12" r="G2"/>
  <c i="10" r="G2"/>
  <c i="10" r="L2"/>
  <c i="10" r="P2" s="1"/>
  <c i="11" r="L2"/>
  <c i="11" r="G2"/>
  <c i="11" r="P2"/>
  <c i="8" r="L2"/>
  <c i="8" r="G2"/>
  <c i="8" r="P2"/>
  <c i="9" r="G2"/>
  <c i="9" r="L2"/>
  <c i="9" r="P2" s="1"/>
  <c i="7" r="G2"/>
  <c i="7" r="L2"/>
  <c i="7" r="P2" s="1"/>
  <c i="7" r="O2" s="1"/>
  <c i="6" r="L2"/>
  <c i="6" r="G2"/>
  <c i="6" r="P2"/>
  <c i="4" r="L2"/>
  <c i="4" r="P2" s="1"/>
  <c i="5" r="L2"/>
  <c i="5" r="G2"/>
  <c i="5" r="P2"/>
  <c i="5" r="O2" s="1"/>
  <c i="4" r="G2"/>
  <c i="1" r="L2"/>
  <c i="1" r="P2" s="1"/>
  <c i="1" r="O2" s="1"/>
  <c i="1" r="G2"/>
  <c i="11" l="1" r="O2"/>
  <c i="10" r="O2"/>
  <c i="8" r="O2"/>
  <c i="9" r="O2"/>
  <c i="6" r="O2"/>
  <c i="4" r="O2"/>
</calcChain>
</file>

<file path=xl/sharedStrings.xml><?xml version="1.0" encoding="utf-8"?>
<sst xmlns="http://schemas.openxmlformats.org/spreadsheetml/2006/main" count="419" uniqueCount="86">
  <si>
    <t>Result</t>
  </si>
  <si>
    <t>Date</t>
  </si>
  <si>
    <t>Notes</t>
  </si>
  <si>
    <t>Execute</t>
  </si>
  <si>
    <t>Amount</t>
  </si>
  <si>
    <t>UDFID</t>
  </si>
  <si>
    <t>PaymentMethod</t>
  </si>
  <si>
    <t>PaymentPlanType</t>
  </si>
  <si>
    <t>PaymentPlanFrequency</t>
  </si>
  <si>
    <t>DivideYourPaymentPlan</t>
  </si>
  <si>
    <t>VTList1</t>
  </si>
  <si>
    <t>CFAmount</t>
  </si>
  <si>
    <t>VTList</t>
  </si>
  <si>
    <t>ReviewConvinienceFee</t>
  </si>
  <si>
    <t>Pass</t>
  </si>
  <si>
    <t>Y</t>
  </si>
  <si>
    <t>10.50</t>
  </si>
  <si>
    <t>1</t>
  </si>
  <si>
    <t>InstallmentPlan</t>
  </si>
  <si>
    <t>Daily</t>
  </si>
  <si>
    <t>NumberOfPayments</t>
  </si>
  <si>
    <t>Mon Sep 15 19:27:26 IST 2025</t>
  </si>
  <si>
    <t>IndividualAmount</t>
  </si>
  <si>
    <t>Deferred</t>
  </si>
  <si>
    <t>RecurringAmount</t>
  </si>
  <si>
    <t>Fri Dec 26 20:56:47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</si>
  <si>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,****5489,
Billing Address:,	1645 FOX ST,
Concover, New York NY 28613,
Country:,	UNITED STATES,
Account Type:,	Business Checking,
3. Payment Plan Information,
Payment Plan Type:,	Installment Plan,
Payment Plan Duration:,	Daily,
Payment Plan Start Date:,	
4. Payment Plan,1 Daily payment of $</t>
  </si>
  <si>
    <t>Tue Dec 30 22:15:08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</si>
  <si>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Company Name:,	Vaddahun Corp,
First Name:,	TABATHA,
Last Name:,	MCGALLIARD,
Routing Number:,	****2691,
Account Number:	,****5489,
Billing Address:,	1645 FOX ST,
Concover, New York NY 28613,
Country:,	UNITED STATES,
Account Type:,	Business Checking,
3. Payment Plan Information,
Payment Plan Type:,	Installment Plan,
Payment Plan Duration:,	Daily,
Payment Plan Start Date:,	
4. Payment Plan,1 Daily payment of $</t>
  </si>
  <si>
    <t>Tue Dec 30 22:29:06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</si>
  <si>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Company Name:,	Vaddahun Corp,
First Name:,	TABATHA,
Last Name:,	MCGALLIARD,
Routing Number:,	****2691,
Account Number:	,****5489,
Billing Address:,	1645 FOX ST,
Concover, New York NY 28613,
Country:,	UNITED STATES,
Account Type:,	Business Checking,
3. Payment Plan Information,
Payment Plan Type:,	Installment Plan,
Payment Plan Duration:,	Deferred,
Payment Plan Start Date:,	
4. Payment Plan,1 Deferred payment of $</t>
  </si>
  <si>
    <t>Tue Dec 30 22:39:49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</si>
  <si>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Company Name:,	Vaddahun Corp,
First Name:,	TABATHA,
Last Name:,	MCGALLIARD,
Routing Number:,	****2691,
Account Number:	,****5489,
Billing Address:,	1645 FOX ST,
Concover, New York NY 28613,
Country:,	UNITED STATES,
Account Type:,	Business Checking,
3. Payment Plan Information,
Payment Plan Type:,	Recurring,
Payment Plan Duration:,	Daily,
Payment Plan Start Date:,	
4. Payment Plan, Daily payments of $</t>
  </si>
  <si>
    <t>Tue Dec 30 22:45:07 IST 2025</t>
  </si>
  <si>
    <t>Remittance ID: 6211-403001,
1. Review bill to pay,
Pending Bills,	Due Date,	Date Submitted,	Date Modified,	Amount Due,	Amount to Pay,
AutoABPDemoBBGDCF6211,	 EST, 	
UDF1:,	udf data 1,
UDF2:,	udf data 2,
UDF3:,	udf3 data,
UDF4:,	udf data4,
2. Payment Method,
Company Name:,	Vaddahun Corp,
First Name:,	TABATHA,
Last Name:,	MCGALLIARD,
Routing Number:,	****2691,
Account Number:	,****5489,
Billing Address:,	1645 FOX ST,
Concover, New York NY 28613,
Country:,	UNITED STATES,
Account Type:,	Business Checking,
3. Payment Plan Information,
Payment Plan Type:,	Recurring,
Payment Plan Duration:,	Deferred,
Payment Plan Start Date:,	
4. Payment Plan,1 Deferred payment of $</t>
  </si>
  <si>
    <t>Tue Dec 30 22:50:48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</si>
  <si>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,****345,
Billing Address:,	1645 FOX ST,
Concover, New York NY 28613,
Country:,	UNITED STATES,
Account Type:,	Personal Savings,
3. Payment Plan Information,
Payment Plan Type:,	Installment Plan,
Payment Plan Duration:,	Daily,
Payment Plan Start Date:,	
4. Payment Plan,1 Daily payment of $</t>
  </si>
  <si>
    <t>Wed Dec 31 20:42:21 IST 2025</t>
  </si>
  <si>
    <t>Wed Dec 31 20:59:29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</si>
  <si>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,****345,
Billing Address:,	1645 FOX ST,
Concover, New York NY 28613,
Country:,	UNITED STATES,
Account Type:,	Personal Savings,
3. Payment Plan Information,
Payment Plan Type:,	Installment Plan,
Payment Plan Duration:,	Deferred,
Payment Plan Start Date:,	
4. Payment Plan,1 Deferred payment of $</t>
  </si>
  <si>
    <t>Wed Dec 31 21:04:25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</si>
  <si>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,****345,
Billing Address:,	1645 FOX ST,
Concover, New York NY 28613,
Country:,	UNITED STATES,
Account Type:,	Personal Savings,
3. Payment Plan Information,
Payment Plan Type:,	Recurring,
Payment Plan Duration:,	Daily,
Payment Plan Start Date:,	
4. Payment Plan, Daily payments of $</t>
  </si>
  <si>
    <t>Wed Dec 31 21:10:31 IST 2025</t>
  </si>
  <si>
    <t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,****345,
Billing Address:,	1645 FOX ST,
Concover, New York NY 28613,
Country:,	UNITED STATES,
Account Type:,	Personal Savings,
3. Payment Plan Information,
Payment Plan Type:,	Recurring,
Payment Plan Duration:,	Deferred,
Payment Plan Start Date:,	
4. Payment Plan,1 Deferred payment of $</t>
  </si>
  <si>
    <t/>
  </si>
  <si>
    <t>Wed Dec 31 21:16:58 IST 2025</t>
  </si>
  <si>
    <t>Tue Jul 07 00:00:45 IST 2026</t>
  </si>
  <si>
    <t>Tue Jul 07 00:01:51 IST 2026</t>
  </si>
  <si>
    <t>Tue Jul 07 00:03:12 IST 2026</t>
  </si>
  <si>
    <t>Tue Jul 07 00:04:32 IST 2026</t>
  </si>
  <si>
    <t>Tue Jul 07 00:06:16 IST 2026</t>
  </si>
  <si>
    <t>Tue Jul 07 00:07:09 IST 2026</t>
  </si>
  <si>
    <t>Tue Jul 07 00:07:56 IST 2026</t>
  </si>
  <si>
    <t>Tue Jul 07 00:08:45 IST 2026</t>
  </si>
  <si>
    <t>Tue Jul 07 00:09:34 IST 2026</t>
  </si>
  <si>
    <t>Tue Jul 07 00:10:20 IST 2026</t>
  </si>
  <si>
    <t>Tue Jul 07 00:11:10 IST 2026</t>
  </si>
  <si>
    <t>Tue Jul 07 00:11:51 IST 2026</t>
  </si>
  <si>
    <t>Tue Jul 07 00:12:41 IST 2026</t>
  </si>
  <si>
    <t>Tue Jul 07 00:13:32 IST 2026</t>
  </si>
  <si>
    <t>Tue Jul 07 00:14:19 IST 2026</t>
  </si>
  <si>
    <t>Tue Jul 07 00:16:19 IST 2026</t>
  </si>
  <si>
    <t>Tue Jul 07 00:17:09 IST 2026</t>
  </si>
  <si>
    <t>Tue Jul 07 00:18:03 IST 2026</t>
  </si>
  <si>
    <t>Tue Jul 07 00:18:59 IST 2026</t>
  </si>
  <si>
    <t>Tue Jul 07 00:19:49 IST 2026</t>
  </si>
  <si>
    <t>Tue Jul 07 00:35:01 IST 2026</t>
  </si>
  <si>
    <t>Tue Jul 07 00:35:48 IST 2026</t>
  </si>
  <si>
    <t>Tue Jul 07 00:36:42 IST 2026</t>
  </si>
  <si>
    <t>Tue Jul 07 00:37:37 IST 2026</t>
  </si>
  <si>
    <t>Tue Jul 07 00:38:26 IST 2026</t>
  </si>
  <si>
    <t>Tue Jul 07 00:39:12 IST 2026</t>
  </si>
  <si>
    <t>Tue Jul 07 00:40:02 IST 2026</t>
  </si>
  <si>
    <t>Tue Jul 07 00:40:48 IST 2026</t>
  </si>
  <si>
    <t>Tue Jul 07 00:41:33 IST 2026</t>
  </si>
  <si>
    <t>Tue Jul 07 00:43:21 IST 2026</t>
  </si>
  <si>
    <t>Tue Jul 07 00:44:09 IST 2026</t>
  </si>
  <si>
    <t>Tue Jul 07 00:44:59 IST 2026</t>
  </si>
  <si>
    <t>Tue Jul 07 00:45:43 IST 2026</t>
  </si>
  <si>
    <t>Tue Jul 07 00:46:29 IST 2026</t>
  </si>
  <si>
    <t>Tue Jul 07 00:47:09 IST 2026</t>
  </si>
  <si>
    <t>Tue Jul 07 00:47:50 IST 2026</t>
  </si>
  <si>
    <t>Tue Jul 07 00:48:35 IST 2026</t>
  </si>
  <si>
    <t>Tue Jul 07 00:49:19 IST 2026</t>
  </si>
  <si>
    <t>Tue Jul 07 00:50:03 IST 2026</t>
  </si>
  <si>
    <t>Tue Jul 07 00:50:53 IST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</si>
</sst>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$&quot;#,##0.00"/>
  </numFmts>
  <fonts count="2" x14ac:knownFonts="1">
    <font>
      <sz val="11"/>
      <color theme="1"/>
      <name val="Calibri"/>
      <family val="2"/>
      <scheme val="minor"/>
    </font>
    <font>
      <sz val="10"/>
      <color theme="1"/>
      <name val="Consolas"/>
      <family val="3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borderId="0" fillId="0" fontId="0" numFmtId="0"/>
  </cellStyleXfs>
  <cellXfs count="11">
    <xf borderId="0" fillId="0" fontId="0" numFmtId="0" xfId="0"/>
    <xf applyAlignment="1" applyBorder="1" applyNumberFormat="1" borderId="1" fillId="0" fontId="0" numFmtId="49" xfId="0">
      <alignment wrapText="1"/>
    </xf>
    <xf applyAlignment="1" applyFont="1" borderId="0" fillId="0" fontId="1" numFmtId="0" xfId="0">
      <alignment vertical="center"/>
    </xf>
    <xf applyAlignment="1" applyBorder="1" applyNumberFormat="1" borderId="2" fillId="0" fontId="0" numFmtId="49" xfId="0">
      <alignment wrapText="1"/>
    </xf>
    <xf applyAlignment="1" applyBorder="1" borderId="1" fillId="0" fontId="0" numFmtId="0" xfId="0">
      <alignment vertical="top" wrapText="1"/>
    </xf>
    <xf applyAlignment="1" applyBorder="1" applyNumberFormat="1" borderId="1" fillId="0" fontId="0" numFmtId="49" xfId="0">
      <alignment vertical="top" wrapText="1"/>
    </xf>
    <xf applyAlignment="1" borderId="0" fillId="0" fontId="0" numFmtId="0" xfId="0">
      <alignment vertical="top" wrapText="1"/>
    </xf>
    <xf applyAlignment="1" applyNumberFormat="1" borderId="0" fillId="0" fontId="0" numFmtId="164" xfId="0">
      <alignment vertical="top" wrapText="1"/>
    </xf>
    <xf applyAlignment="1" applyNumberFormat="1" borderId="0" fillId="0" fontId="0" numFmtId="2" xfId="0">
      <alignment vertical="top" wrapText="1"/>
    </xf>
    <xf applyAlignment="1" borderId="0" fillId="0" fontId="0" numFmtId="0" xfId="0">
      <alignment horizontal="center" vertical="top" wrapText="1"/>
    </xf>
    <xf applyAlignment="1" borderId="0" fillId="0" fontId="0" numFmtId="0" xfId="0">
      <alignment wrapText="1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theme/theme1.xml" Type="http://schemas.openxmlformats.org/officeDocument/2006/relationships/theme"/><Relationship Id="rId12" Target="styles.xml" Type="http://schemas.openxmlformats.org/officeDocument/2006/relationships/styles"/><Relationship Id="rId13" Target="sharedStrings.xml" Type="http://schemas.openxmlformats.org/officeDocument/2006/relationships/sharedStrings"/><Relationship Id="rId14" Target="calcChain.xml" Type="http://schemas.openxmlformats.org/officeDocument/2006/relationships/calcChain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panose="020F0302020204030204"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panose="020F0502020204030204"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algn="ctr" cap="flat" cmpd="sng" w="6350">
          <a:solidFill>
            <a:schemeClr val="phClr"/>
          </a:solidFill>
          <a:prstDash val="solid"/>
          <a:miter lim="800000"/>
        </a:ln>
        <a:ln algn="ctr" cap="flat" cmpd="sng" w="12700">
          <a:solidFill>
            <a:schemeClr val="phClr"/>
          </a:solidFill>
          <a:prstDash val="solid"/>
          <a:miter lim="800000"/>
        </a:ln>
        <a:ln algn="ctr" cap="flat" cmpd="sng" w="19050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algn="ctr" blurRad="57150" dir="5400000" dist="19050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id="{62F939B6-93AF-4DB8-9C6B-D6C7DFDC589F}" name="Office Theme" vid="{4A3C46E8-61CC-4603-A589-7422A47A8E4A}"/>
    </a:ext>
  </a:extLst>
</a:theme>
</file>

<file path=xl/worksheets/sheet1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"/>
  <sheetViews>
    <sheetView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53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19</v>
      </c>
      <c r="J2" t="s" s="0">
        <v>20</v>
      </c>
      <c r="K2" s="6" t="s">
        <v>28</v>
      </c>
      <c r="L2" s="6" t="str">
        <f ca="1">TEXT(TODAY()+1,"mm/dd/yyyy")</f>
        <v>01/01/2026</v>
      </c>
      <c r="M2" s="7">
        <v>12</v>
      </c>
      <c r="N2" s="8">
        <v>2</v>
      </c>
      <c r="O2" s="9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Company Name:,	Vaddahun Corp,
First Name:,	TABATHA,
Last Name:,	MCGALLIARD,
Routing Number:,	****2691,
Account Number:	,****5489,
Billing Address:,	1645 FOX ST,
Concover, New York NY 28613,
Country:,	UNITED STATES,
Account Type:,	Business Checking,
3. Payment Plan Information,
Payment Plan Type:,	Installment Plan,
Payment Plan Duration:,	Daily,
Payment Plan Start Date:,	
4. Payment Plan,1 Daily payment of $12.00 on 01/01/2026,A Convenience Fee will be added to each transaction issued for 1 Daily payment of 2.00 starting on 01/01/2026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01/01/2026 ,Individual Convenience Fee Amount:,	
Total Convenience Fees Paid:,	
Total Paid under this plan:</v>
      </c>
    </row>
  </sheetData>
  <pageMargins bottom="0.75" footer="0.3" header="0.3" left="0.7" right="0.7" top="0.75"/>
  <headerFooter>
    <oddFooter xml:space="preserve">&amp;C_x000D_&amp;1#&amp;"Calibri"&amp;10&amp;K000000 Public </oddFooter>
  </headerFooter>
</worksheet>
</file>

<file path=xl/worksheets/sheet2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65416F-EAD8-4226-BA0B-0AD26ABF0604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24.81640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69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19</v>
      </c>
      <c r="J2" t="s" s="0">
        <v>22</v>
      </c>
      <c r="K2" s="6" t="s">
        <v>36</v>
      </c>
      <c r="L2" s="6" t="str">
        <f ca="1">TEXT(TODAY()+1,"mm/dd/yyyy")</f>
        <v>01/01/2026</v>
      </c>
      <c r="M2" s="7">
        <v>12</v>
      </c>
      <c r="N2" s="8">
        <v>2</v>
      </c>
      <c r="O2" s="9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,****345,
Billing Address:,	1645 FOX ST,
Concover, New York NY 28613,
Country:,	UNITED STATES,
Account Type:,	Personal Savings,
3. Payment Plan Information,
Payment Plan Type:,	Installment Plan,
Payment Plan Duration:,	Daily,
Payment Plan Start Date:,	
4. Payment Plan,1 Daily payment of $12.00 on 01/01/2026,A Convenience Fee will be added to each transaction issued for 1 Daily payment of 2.00 starting on 01/01/2026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A7C80-3096-4B80-A8BF-99672E759DAB}">
  <dimension ref="A1:P2"/>
  <sheetViews>
    <sheetView workbookViewId="0">
      <selection activeCell="H2" sqref="H2"/>
    </sheetView>
  </sheetViews>
  <sheetFormatPr defaultRowHeight="14.5" x14ac:dyDescent="0.35"/>
  <cols>
    <col min="11" max="11" customWidth="true" width="31.3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49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19</v>
      </c>
      <c r="J2" t="s" s="0">
        <v>22</v>
      </c>
      <c r="K2" s="6" t="s">
        <v>26</v>
      </c>
      <c r="L2" s="6" t="str">
        <f ca="1">TEXT(TODAY()+1,"mm/dd/yyyy")</f>
        <v>01/01/2026</v>
      </c>
      <c r="M2" s="7">
        <v>12</v>
      </c>
      <c r="N2" s="8">
        <v>2</v>
      </c>
      <c r="O2" s="9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,****5489,
Billing Address:,	1645 FOX ST,
Concover, New York NY 28613,
Country:,	UNITED STATES,
Account Type:,	Business Checking,
3. Payment Plan Information,
Payment Plan Type:,	Installment Plan,
Payment Plan Duration:,	Daily,
Payment Plan Start Date:,	
4. Payment Plan,1 Daily payment of $12.00 on 01/01/2026,A Convenience Fee will be added to each transaction issued for 1 Daily payment of 2.00 starting on 01/01/2026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7DB6E-BC66-4CE5-A0EA-21E31C3C1269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27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77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23</v>
      </c>
      <c r="J2" t="s" s="0">
        <v>20</v>
      </c>
      <c r="K2" s="6" t="s">
        <v>39</v>
      </c>
      <c r="L2" s="6" t="str">
        <f ca="1">TEXT(TODAY()+1,"mm/dd/yyyy")</f>
        <v>01/01/2026</v>
      </c>
      <c r="M2" s="7">
        <v>12</v>
      </c>
      <c r="N2" s="8">
        <v>2</v>
      </c>
      <c r="O2" s="9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,****345,
Billing Address:,	1645 FOX ST,
Concover, New York NY 28613,
Country:,	UNITED STATES,
Account Type:,	Personal Savings,
3. Payment Plan Information,
Payment Plan Type:,	Installment Plan,
Payment Plan Duration:,	Deferred,
Payment Plan Start Date:,	
4. Payment Plan,1 Deferred payment of $12.00 on 01/01/2026,A Convenience Fee will be added to each transaction issued for 1 Deferred payment of 2.00 starting on 01/01/2026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F2A858-8568-405F-B1FE-A4DB3A2B6FAB}">
  <dimension ref="A1:P2"/>
  <sheetViews>
    <sheetView topLeftCell="A2" workbookViewId="0">
      <selection activeCell="M2" sqref="M2"/>
    </sheetView>
  </sheetViews>
  <sheetFormatPr defaultRowHeight="14.5" x14ac:dyDescent="0.35"/>
  <cols>
    <col min="11" max="11" customWidth="true" width="24.72656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57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18</v>
      </c>
      <c r="I2" t="s" s="0">
        <v>23</v>
      </c>
      <c r="J2" t="s" s="0">
        <v>20</v>
      </c>
      <c r="K2" s="6" t="s">
        <v>30</v>
      </c>
      <c r="L2" s="6" t="str">
        <f ca="1">TEXT(TODAY()+1,"mm/dd/yyyy")</f>
        <v>01/01/2026</v>
      </c>
      <c r="M2" s="7">
        <v>12</v>
      </c>
      <c r="N2" s="8">
        <v>2</v>
      </c>
      <c r="O2" s="9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Company Name:,	Vaddahun Corp,
First Name:,	TABATHA,
Last Name:,	MCGALLIARD,
Routing Number:,	****2691,
Account Number:	,****5489,
Billing Address:,	1645 FOX ST,
Concover, New York NY 28613,
Country:,	UNITED STATES,
Account Type:,	Business Checking,
3. Payment Plan Information,
Payment Plan Type:,	Installment Plan,
Payment Plan Duration:,	Deferred,
Payment Plan Start Date:,	
4. Payment Plan,1 Deferred payment of $12.00 on 01/01/2026,A Convenience Fee will be added to each transaction issued for 1 Deferred payment of 2.00 starting on 01/01/2026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6328A-9DEA-4031-BF6E-3E1679D9E636}">
  <dimension ref="A1:P2"/>
  <sheetViews>
    <sheetView tabSelected="1" workbookViewId="0">
      <selection activeCell="M2" sqref="M2"/>
    </sheetView>
  </sheetViews>
  <sheetFormatPr defaultRowHeight="14.5" x14ac:dyDescent="0.35"/>
  <cols>
    <col min="11" max="11" customWidth="true" width="20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85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24</v>
      </c>
      <c r="I2" t="s" s="0">
        <v>23</v>
      </c>
      <c r="J2" t="s" s="0">
        <v>20</v>
      </c>
      <c r="K2" s="6" t="s">
        <v>43</v>
      </c>
      <c r="L2" s="6" t="str">
        <f ca="1">TEXT(TODAY()+1,"mm/dd/yyyy")</f>
        <v>01/01/2026</v>
      </c>
      <c r="M2" s="7">
        <v>12</v>
      </c>
      <c r="N2" s="8">
        <v>2</v>
      </c>
      <c r="O2" s="9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,****345,
Billing Address:,	1645 FOX ST,
Concover, New York NY 28613,
Country:,	UNITED STATES,
Account Type:,	Personal Savings,
3. Payment Plan Information,
Payment Plan Type:,	Recurring,
Payment Plan Duration:,	Deferred,
Payment Plan Start Date:,	
4. Payment Plan,1 Deferred payment of $12.00 on 01/01/2026,A Convenience Fee will be added to each transaction issued for 1 Deferred payment of 2.00 starting on 01/01/2026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0F5C47-9A3E-42DC-8852-58A42D0C9EFE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26.6328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65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24</v>
      </c>
      <c r="I2" t="s" s="0">
        <v>23</v>
      </c>
      <c r="J2" t="s" s="0">
        <v>20</v>
      </c>
      <c r="K2" s="6" t="s">
        <v>34</v>
      </c>
      <c r="L2" s="6" t="str">
        <f ca="1">TEXT(TODAY()+1,"mm/dd/yyyy")</f>
        <v>01/01/2026</v>
      </c>
      <c r="M2" s="7">
        <v>12</v>
      </c>
      <c r="N2" s="8">
        <v>2</v>
      </c>
      <c r="O2" s="9" t="str">
        <f ca="1">K2&amp;TEXT(M2,"0.00")&amp;" on "&amp;L2&amp;","&amp;P2</f>
        <v>Remittance ID: 6211-403001,
1. Review bill to pay,
Pending Bills,	Due Date,	Date Submitted,	Date Modified,	Amount Due,	Amount to Pay,
AutoABPDemoBBGDCF6211,	 EST, 	
UDF1:,	udf data 1,
UDF2:,	udf data 2,
UDF3:,	udf3 data,
UDF4:,	udf data4,
2. Payment Method,
Company Name:,	Vaddahun Corp,
First Name:,	TABATHA,
Last Name:,	MCGALLIARD,
Routing Number:,	****2691,
Account Number:	,****5489,
Billing Address:,	1645 FOX ST,
Concover, New York NY 28613,
Country:,	UNITED STATES,
Account Type:,	Business Checking,
3. Payment Plan Information,
Payment Plan Type:,	Recurring,
Payment Plan Duration:,	Deferred,
Payment Plan Start Date:,	
4. Payment Plan,1 Deferred payment of $12.00 on 01/01/2026,A Convenience Fee will be added to each transaction issued for 1 Deferred payment of 2.00 starting on 01/01/2026 ,Individual Convenience Fee Amount:,	
Total Convenience Fees Paid:,	
Total Paid under this plan:</v>
      </c>
      <c r="P2" s="10" t="str">
        <f ca="1">"A Convenience Fee will be added to each transaction issued for 1 Deferred payment of "&amp;  TEXT(N2,"0.00")&amp;" starting on "&amp;L2&amp;" ,Individual Convenience Fee Amount:,	
Total Convenience Fees Paid:,	
Total Paid under this plan:"</f>
        <v>A Convenience Fee will be added to each transaction issued for 1 Deferred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10DE0-0B5B-490D-A8EE-5AFB1CF2AE1D}">
  <dimension ref="A1:P2"/>
  <sheetViews>
    <sheetView workbookViewId="0">
      <selection activeCell="N2" sqref="N2"/>
    </sheetView>
  </sheetViews>
  <sheetFormatPr defaultRowHeight="14.5" x14ac:dyDescent="0.35"/>
  <cols>
    <col min="11" max="11" customWidth="true" width="20.179687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81</v>
      </c>
      <c r="C2" s="4"/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24</v>
      </c>
      <c r="I2" t="s" s="0">
        <v>19</v>
      </c>
      <c r="J2" t="s" s="0">
        <v>20</v>
      </c>
      <c r="K2" s="6" t="s">
        <v>41</v>
      </c>
      <c r="L2" s="6" t="str">
        <f ca="1">TEXT(TODAY()+1,"mm/dd/yyyy")</f>
        <v>01/01/2026</v>
      </c>
      <c r="M2" s="7">
        <v>12</v>
      </c>
      <c r="N2" s="8">
        <v>2</v>
      </c>
      <c r="O2" s="9" t="str">
        <f ca="1">K2&amp;TEXT(M2,"0.00")&amp;" starting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,****345,
Billing Address:,	1645 FOX ST,
Concover, New York NY 28613,
Country:,	UNITED STATES,
Account Type:,	Personal Savings,
3. Payment Plan Information,
Payment Plan Type:,	Recurring,
Payment Plan Duration:,	Daily,
Payment Plan Start Date:,	
4. Payment Plan, Daily payments of $12.00 starting on 01/01/2026,A Convenience Fee will be added to each transaction issued for Daily payment of 2.00 starting on 01/01/2026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EEE3BC-AF45-4450-AB4B-7E9300EF985A}">
  <dimension ref="A1:P2"/>
  <sheetViews>
    <sheetView workbookViewId="0">
      <selection activeCell="J2" sqref="J2"/>
    </sheetView>
  </sheetViews>
  <sheetFormatPr defaultRowHeight="14.5" x14ac:dyDescent="0.35"/>
  <cols>
    <col min="11" max="11" customWidth="true" width="21.26953125" collapsed="true"/>
  </cols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61</v>
      </c>
      <c r="C2" s="4"/>
      <c r="D2" s="5" t="s">
        <v>15</v>
      </c>
      <c r="E2" s="5" t="s">
        <v>16</v>
      </c>
      <c r="F2" s="5" t="s">
        <v>17</v>
      </c>
      <c r="G2" t="str" s="0">
        <f>"Smith"</f>
        <v>Smith</v>
      </c>
      <c r="H2" t="s" s="0">
        <v>24</v>
      </c>
      <c r="I2" t="s" s="0">
        <v>19</v>
      </c>
      <c r="J2" t="s" s="0">
        <v>20</v>
      </c>
      <c r="K2" s="6" t="s">
        <v>32</v>
      </c>
      <c r="L2" s="6" t="str">
        <f ca="1">TEXT(TODAY()+1,"mm/dd/yyyy")</f>
        <v>01/01/2026</v>
      </c>
      <c r="M2" s="7">
        <v>12</v>
      </c>
      <c r="N2" s="8">
        <v>2</v>
      </c>
      <c r="O2" s="9" t="str">
        <f ca="1">K2&amp;TEXT(M2,"0.00")&amp;" starting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Company Name:,	Vaddahun Corp,
First Name:,	TABATHA,
Last Name:,	MCGALLIARD,
Routing Number:,	****2691,
Account Number:	,****5489,
Billing Address:,	1645 FOX ST,
Concover, New York NY 28613,
Country:,	UNITED STATES,
Account Type:,	Business Checking,
3. Payment Plan Information,
Payment Plan Type:,	Recurring,
Payment Plan Duration:,	Daily,
Payment Plan Start Date:,	
4. Payment Plan, Daily payments of $12.00 starting on 01/01/2026,A Convenience Fee will be added to each transaction issued for Daily payment of 2.00 starting on 01/01/2026 ,Individual Convenience Fee Amount:,	
Total Convenience Fees Paid:,	
Total Paid under this plan:</v>
      </c>
      <c r="P2" s="10" t="str">
        <f ca="1">"A Convenience Fee will be added to each transaction issued for Daily payment of "&amp;  TEXT(N2,"0.00")&amp;" starting on "&amp;L2&amp;" ,Individual Convenience Fee Amount:,	
Total Convenience Fees Paid:,	
Total Paid under this plan:"</f>
        <v>A Convenience Fee will be added to each transaction issued for Daily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 xmlns:mc="http://schemas.openxmlformats.org/markup-compatibility/2006" xmlns:r="http://schemas.openxmlformats.org/officeDocument/2006/relationships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A5AD8E-8FB3-4E0D-8FB3-58E3B5B29B16}">
  <dimension ref="A1:P2"/>
  <sheetViews>
    <sheetView workbookViewId="0">
      <selection activeCell="J2" sqref="J2"/>
    </sheetView>
  </sheetViews>
  <sheetFormatPr defaultRowHeight="14.5" x14ac:dyDescent="0.35"/>
  <sheetData>
    <row ht="43.5" r="1" spans="1:1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t="s" s="0">
        <v>7</v>
      </c>
      <c r="I1" t="s" s="0">
        <v>8</v>
      </c>
      <c r="J1" t="s" s="0">
        <v>9</v>
      </c>
      <c r="K1" s="3" t="s">
        <v>10</v>
      </c>
      <c r="L1" s="3" t="s">
        <v>1</v>
      </c>
      <c r="M1" s="3" t="s">
        <v>4</v>
      </c>
      <c r="N1" s="3" t="s">
        <v>11</v>
      </c>
      <c r="O1" s="3" t="s">
        <v>12</v>
      </c>
      <c r="P1" s="3" t="s">
        <v>13</v>
      </c>
    </row>
    <row ht="409.5" r="2" spans="1:16" x14ac:dyDescent="0.35">
      <c r="A2" t="s" s="0">
        <v>14</v>
      </c>
      <c r="B2" t="s" s="0">
        <v>73</v>
      </c>
      <c r="C2" t="s" s="0">
        <v>21</v>
      </c>
      <c r="D2" s="5" t="s">
        <v>15</v>
      </c>
      <c r="E2" s="5" t="s">
        <v>16</v>
      </c>
      <c r="F2" s="5" t="s">
        <v>17</v>
      </c>
      <c r="G2" t="str" s="0">
        <f>"CarlosJacinta"</f>
        <v>CarlosJacinta</v>
      </c>
      <c r="H2" t="s" s="0">
        <v>18</v>
      </c>
      <c r="I2" t="s" s="0">
        <v>19</v>
      </c>
      <c r="J2" t="s" s="0">
        <v>20</v>
      </c>
      <c r="K2" s="6" t="s">
        <v>36</v>
      </c>
      <c r="L2" s="6" t="str">
        <f ca="1">TEXT(TODAY()+1,"mm/dd/yyyy")</f>
        <v>01/01/2026</v>
      </c>
      <c r="M2" s="7">
        <v>12</v>
      </c>
      <c r="N2" s="8">
        <v>2</v>
      </c>
      <c r="O2" s="9" t="str">
        <f ca="1">K2&amp;TEXT(M2,"0.00")&amp;" on "&amp;L2&amp;","&amp;P2</f>
        <v>Scheduled Payment--View the Information,
Remittance ID: 6211-403001,
1. Review bill to pay,
Pending Bills,	Due Date,	Date Submitted,	Date Modified,	Amount Due,	Amount to Pay,
AutoABPDemoBBGDCF6211,	 EST, 	
UDF1:,	udf data 1,
UDF2:,	udf data 2,
UDF3:,	udf3 data,
UDF4:,	udf data4,
2. Payment Method,
First Name:,	TABATHA,
Last Name:,	MCGALLIARD,
Routing Number:,	****2691,
Account Number:	,****345,
Billing Address:,	1645 FOX ST,
Concover, New York NY 28613,
Country:,	UNITED STATES,
Account Type:,	Personal Savings,
3. Payment Plan Information,
Payment Plan Type:,	Installment Plan,
Payment Plan Duration:,	Daily,
Payment Plan Start Date:,	
4. Payment Plan,1 Daily payment of $12.00 on 01/01/2026,A Convenience Fee will be added to each transaction issued for 1 Daily payment of 2.00 starting on 01/01/2026 ,Individual Convenience Fee Amount:,	
Total Convenience Fees Paid:,	
Total Paid under this plan:</v>
      </c>
      <c r="P2" s="10" t="str">
        <f ca="1">"A Convenience Fee will be added to each transaction issued for 1 Daily payment of "&amp;  TEXT(N2,"0.00")&amp;" starting on "&amp;L2&amp;" ,Individual Convenience Fee Amount:,	
Total Convenience Fees Paid:,	
Total Paid under this plan:"</f>
        <v>A Convenience Fee will be added to each transaction issued for 1 Daily payment of 2.00 starting on 01/01/2026 ,Individual Convenience Fee Amount:,	
Total Convenience Fees Paid:,	
Total Paid under this plan: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baseType="variant" size="2">
      <vt:variant>
        <vt:lpstr>Worksheets</vt:lpstr>
      </vt:variant>
      <vt:variant>
        <vt:i4>10</vt:i4>
      </vt:variant>
    </vt:vector>
  </HeadingPairs>
  <TitlesOfParts>
    <vt:vector baseType="lpstr" size="10">
      <vt:lpstr>CVCSPDCFCorp_IPDailyNOP</vt:lpstr>
      <vt:lpstr>CVCSPDCFPS_IPDailyIA</vt:lpstr>
      <vt:lpstr>CVCSPDCFCorp_IPDailyIA</vt:lpstr>
      <vt:lpstr>CVCSPDCFPS_IPDeferred</vt:lpstr>
      <vt:lpstr>CVCSPDCFCorp_IPDeferred</vt:lpstr>
      <vt:lpstr>CVCSPDCFPS_RecDeferred</vt:lpstr>
      <vt:lpstr>CVCSPDCFCorp_RecDeferred</vt:lpstr>
      <vt:lpstr>CVCSPDCFPS_RecDaily</vt:lpstr>
      <vt:lpstr>CVCSPDCFCorp_RecDaily</vt:lpstr>
      <vt:lpstr>CVCSPDCFPS_IPDailyNOP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Mishra, Komal</dc:creator>
  <cp:lastModifiedBy>Bhushan, Bharat</cp:lastModifiedBy>
  <dcterms:modified xsi:type="dcterms:W3CDTF">2025-12-31T15:46:38Z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name="MSIP_Label_0fe51ac3-344e-4d7e-82a2-d6ed2fbd0340_Enabled" pid="2">
    <vt:lpwstr>true</vt:lpwstr>
  </property>
  <property fmtid="{D5CDD505-2E9C-101B-9397-08002B2CF9AE}" name="MSIP_Label_0fe51ac3-344e-4d7e-82a2-d6ed2fbd0340_SetDate" pid="3">
    <vt:lpwstr>2025-09-15T13:41:03Z</vt:lpwstr>
  </property>
  <property fmtid="{D5CDD505-2E9C-101B-9397-08002B2CF9AE}" name="MSIP_Label_0fe51ac3-344e-4d7e-82a2-d6ed2fbd0340_Method" pid="4">
    <vt:lpwstr>Privileged</vt:lpwstr>
  </property>
  <property fmtid="{D5CDD505-2E9C-101B-9397-08002B2CF9AE}" name="MSIP_Label_0fe51ac3-344e-4d7e-82a2-d6ed2fbd0340_Name" pid="5">
    <vt:lpwstr>Public</vt:lpwstr>
  </property>
  <property fmtid="{D5CDD505-2E9C-101B-9397-08002B2CF9AE}" name="MSIP_Label_0fe51ac3-344e-4d7e-82a2-d6ed2fbd0340_SiteId" pid="6">
    <vt:lpwstr>1f7c1878-7408-4f86-b429-cf17f96a717c</vt:lpwstr>
  </property>
  <property fmtid="{D5CDD505-2E9C-101B-9397-08002B2CF9AE}" name="MSIP_Label_0fe51ac3-344e-4d7e-82a2-d6ed2fbd0340_ActionId" pid="7">
    <vt:lpwstr>f21bf80d-53c6-43c2-9af9-24d5d5b3d61f</vt:lpwstr>
  </property>
  <property fmtid="{D5CDD505-2E9C-101B-9397-08002B2CF9AE}" name="MSIP_Label_0fe51ac3-344e-4d7e-82a2-d6ed2fbd0340_ContentBits" pid="8">
    <vt:lpwstr>2</vt:lpwstr>
  </property>
  <property fmtid="{D5CDD505-2E9C-101B-9397-08002B2CF9AE}" name="MSIP_Label_0fe51ac3-344e-4d7e-82a2-d6ed2fbd0340_Tag" pid="9">
    <vt:lpwstr>10, 0, 1, 1</vt:lpwstr>
  </property>
</Properties>
</file>