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revIDLastSave="0" documentId="13_ncr:1_{833B9275-C533-4F9F-88A7-8374CA16FB44}" xr6:coauthVersionLast="47" xr6:coauthVersionMax="47" xr10:uidLastSave="{00000000-0000-0000-0000-000000000000}"/>
  <bookViews>
    <workbookView xWindow="-110" yWindow="-110" windowWidth="19420" windowHeight="11500" firstSheet="6" activeTab="6" xr2:uid="{00000000-000D-0000-FFFF-FFFF00000000}"/>
  </bookViews>
  <sheets>
    <sheet name="CVCSPSCFCorp_IPDailyNOP" sheetId="1" r:id="rId1"/>
    <sheet name="CVCSPSCFCorp_AutomaticPayment" sheetId="2" r:id="rId2"/>
    <sheet name="CVCSPSCFPC_AutomaticPayment" sheetId="4" r:id="rId3"/>
    <sheet name="CVCSPSCFPS_AutomaticPayment" sheetId="3" r:id="rId4"/>
    <sheet name="CVCSPSCFCC_AutomaticPayment" sheetId="5" r:id="rId5"/>
    <sheet name="CVCSPSCFPS_RecDeferred" sheetId="6" r:id="rId6"/>
    <sheet name="CVCSPSCFPC_RecDeferred" sheetId="7" r:id="rId7"/>
    <sheet name="CVCSPSCFCorp_RecDeferred" sheetId="8" r:id="rId8"/>
    <sheet name="CVCSPSCFCC_RecDeferred" sheetId="9" r:id="rId9"/>
    <sheet name="CVCSPSCFPS_RecDaily" sheetId="10" r:id="rId10"/>
    <sheet name="CVCSPSCFPC_RecDaily" sheetId="11" r:id="rId11"/>
    <sheet name="CVCSPSCFCorp_RecDaily" sheetId="12" r:id="rId12"/>
    <sheet name="CVCSPSCFCC_RecDaily" sheetId="13" r:id="rId13"/>
    <sheet name="CVCSPSCFPS_IPDeferred" sheetId="14" r:id="rId14"/>
    <sheet name="CVCSPSCFPC_IPDeferred" sheetId="15" r:id="rId15"/>
    <sheet name="CVCSPSCFCC_IPDeferred" sheetId="16" r:id="rId16"/>
    <sheet name="CVCSPSCFCorp_IPDeferred" sheetId="17" r:id="rId17"/>
    <sheet name="CVCSPSCFPS_IPDailyIA" sheetId="18" r:id="rId18"/>
    <sheet name="CVCSPSCFPC_IPDailyIA" sheetId="19" r:id="rId19"/>
    <sheet name="CVCSPSCFCC_IPDailyIA" sheetId="20" r:id="rId20"/>
    <sheet name="CVCSPSCFCorp_IPDailyIA" sheetId="21" r:id="rId21"/>
    <sheet name="CVCSPSCFCC_IPDailyNOP" sheetId="22" r:id="rId22"/>
    <sheet name="CVCSPSCFPC_IPDailyNOP" sheetId="23" r:id="rId23"/>
    <sheet name="CVCSPSCFPS_IPDailyNOP" sheetId="24" r:id="rId24"/>
    <sheet name="CVCSPSCFCorp_RecMonthly" sheetId="25" r:id="rId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25" l="1"/>
  <c r="P2" i="25" s="1"/>
  <c r="G2" i="25"/>
  <c r="G2" i="4" l="1"/>
  <c r="G2" i="24"/>
  <c r="G2" i="23"/>
  <c r="G2" i="22"/>
  <c r="L2" i="22"/>
  <c r="P2" i="22" s="1"/>
  <c r="O2" i="22" s="1"/>
  <c r="L2" i="23"/>
  <c r="P2" i="23" s="1"/>
  <c r="L2" i="24"/>
  <c r="P2" i="24" s="1"/>
  <c r="O2" i="24" s="1"/>
  <c r="G2" i="20"/>
  <c r="G2" i="19"/>
  <c r="G2" i="18"/>
  <c r="L2" i="21"/>
  <c r="P2" i="21" s="1"/>
  <c r="G2" i="21"/>
  <c r="L2" i="20"/>
  <c r="P2" i="20" s="1"/>
  <c r="O2" i="20" s="1"/>
  <c r="L2" i="19"/>
  <c r="P2" i="19" s="1"/>
  <c r="L2" i="18"/>
  <c r="P2" i="18" s="1"/>
  <c r="O2" i="18" s="1"/>
  <c r="G2" i="15"/>
  <c r="G2" i="16"/>
  <c r="G2" i="17"/>
  <c r="L2" i="17"/>
  <c r="P2" i="17" s="1"/>
  <c r="L2" i="16"/>
  <c r="P2" i="16" s="1"/>
  <c r="O2" i="16" s="1"/>
  <c r="L2" i="15"/>
  <c r="P2" i="15" s="1"/>
  <c r="L2" i="14"/>
  <c r="P2" i="14" s="1"/>
  <c r="G2" i="14"/>
  <c r="G2" i="11"/>
  <c r="G2" i="12"/>
  <c r="G2" i="13"/>
  <c r="L2" i="13"/>
  <c r="P2" i="13" s="1"/>
  <c r="O2" i="13" s="1"/>
  <c r="L2" i="12"/>
  <c r="P2" i="12" s="1"/>
  <c r="L2" i="11"/>
  <c r="P2" i="11" s="1"/>
  <c r="L2" i="10"/>
  <c r="P2" i="10" s="1"/>
  <c r="G2" i="10"/>
  <c r="G2" i="9"/>
  <c r="L2" i="9"/>
  <c r="P2" i="9" s="1"/>
  <c r="O2" i="9" s="1"/>
  <c r="L2" i="6"/>
  <c r="P2" i="6" s="1"/>
  <c r="O2" i="6" s="1"/>
  <c r="L2" i="7"/>
  <c r="P2" i="7" s="1"/>
  <c r="L2" i="8"/>
  <c r="P2" i="8" s="1"/>
  <c r="G2" i="7"/>
  <c r="G2" i="8"/>
  <c r="G2" i="6"/>
  <c r="O2" i="14" l="1"/>
  <c r="O2" i="10"/>
  <c r="G2" i="5"/>
  <c r="P2" i="5"/>
  <c r="L2" i="5"/>
  <c r="P2" i="4"/>
  <c r="L2" i="4"/>
  <c r="G2" i="3"/>
  <c r="P2" i="3"/>
  <c r="L2" i="3"/>
  <c r="P2" i="2"/>
  <c r="L2" i="2"/>
  <c r="G2" i="2"/>
  <c r="L2" i="1" l="1"/>
  <c r="P2" i="1" s="1"/>
  <c r="G2" i="1"/>
</calcChain>
</file>

<file path=xl/sharedStrings.xml><?xml version="1.0" encoding="utf-8"?>
<sst xmlns="http://schemas.openxmlformats.org/spreadsheetml/2006/main" count="640" uniqueCount="82">
  <si>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</si>
  <si>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</si>
  <si>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</si>
  <si>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</si>
  <si>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</si>
  <si>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</si>
  <si>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</si>
  <si>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</si>
  <si>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</si>
  <si>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</si>
  <si>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</si>
  <si>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</si>
  <si>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</si>
  <si>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</si>
  <si>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</si>
  <si>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</si>
  <si>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</si>
  <si>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</si>
  <si>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</si>
  <si>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</si>
  <si>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</si>
  <si>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</si>
  <si>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</si>
  <si>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</si>
  <si>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IndividualAmount</t>
  </si>
  <si>
    <t>Monthly</t>
  </si>
  <si>
    <t>Scheduled Payment--View the Information,
Remittance ID: 6207-402998,
1. Review bill to pay,
Pending Bills,	Due Date,	Date Submitted,	Date Modified,	Amount Due,	Amount to Pay,	
AutoABPUser6210,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Payment Plan Type:,	Automatic Payment 
Payment Plan Start Date:,	
4. Payment Plan, Amount due will be paid 3 calendar days before the Due Date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</si>
  <si>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</si>
  <si>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Deferred,
Payment Plan Start Date:,	
4. Payment Plan,1 Deferred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</si>
  <si>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Daily,
Payment Plan Start Date:,	
4. Payment Plan, Daily payments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</si>
  <si>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Deferred,
Payment Plan Start Date:,	
4. Payment Plan,1 Deferred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</si>
  <si>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28601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</si>
  <si>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</si>
  <si>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</si>
  <si>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</si>
  <si>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Deferred,
Payment Plan Start Date:,	
4. Payment Plan,1 Deferred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</si>
  <si>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Type:,Business Checking,
3. Payment Plan Information,
Payment Plan Type:,	Recurring,
Payment Plan Duration:,	Monthly,
Payment Plan Start Date:,	
4. Payment Plan,Monthly payments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</si>
  <si>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Routing Number:,	****2691,
Account Number:,	****5489,
Billing Address:,	708 36TH AVE NW,,
Hickory, New York NY, 28601,
Country:,	UNITED STATES,
Account Type:,	Business Checking,
Account Type:,	Personal Checking,3. Payment Plan Information,
Payment Plan Type:,	Automatic Payment 
Payment Plan Start Date:,	
4. Payment Plan, Amount due will be paid 3 calendar days before the Due Date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</si>
  <si>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Daily,
Payment Plan Start Date:,	
4. Payment Plan,1 Daily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</si>
  <si>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</si>
  <si>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</si>
  <si>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</si>
  <si>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</si>
  <si>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</si>
  <si>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</si>
  <si>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Account Type:,	Personal Savings,
3. Payment Plan Information,
Payment Plan Type:,	Recurring,
Payment Plan Duration:,	Daily,
Payment Plan Start Date:,	
4. Payment Plan, Daily payments of $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</si>
  <si>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Recurring,
Payment Plan Duration:,	Deferred,
Payment Plan Start Date:,	
4. Payment Plan,1 Deferred payment of $</t>
  </si>
  <si>
    <t>Fri Jul 03 20:38:47 IST 2026</t>
  </si>
  <si>
    <t>Fri Jul 03 20:39:39 IST 2026</t>
  </si>
  <si>
    <t>Fri Jul 03 20:40:26 IST 2026</t>
  </si>
  <si>
    <t>Fri Jul 03 20:41:26 IST 2026</t>
  </si>
  <si>
    <t>Fri Jul 03 20:42:15 IST 2026</t>
  </si>
  <si>
    <t>Fri Jul 03 20:42:59 IST 2026</t>
  </si>
  <si>
    <t>Fri Jul 03 21:49:26 IST 2026</t>
  </si>
  <si>
    <t>Fri Jul 03 21:50:38 IST 2026</t>
  </si>
  <si>
    <t>Fri Jul 03 21:51:14 IST 2026</t>
  </si>
  <si>
    <t>Fri Jul 03 21:51:57 IST 2026</t>
  </si>
  <si>
    <t>Fri Jul 03 21:52:39 IST 2026</t>
  </si>
  <si>
    <t>Fri Jul 03 21:53:19 IST 2026</t>
  </si>
  <si>
    <t>Fri Jul 03 21:53:53 IST 2026</t>
  </si>
  <si>
    <t>Wed Jul 29 19:47:04 IST 2026</t>
  </si>
  <si>
    <t>Scheduled Payment--View the Information,_x000D_
Remittance ID: 6210-402999,_x000D_
1. Review bill to pay,_x000D_
Pending Bills,	Due Date,	Date Submitted,	Date Modified,	Amount Due,	Amount to Pay,	_x000D_
AutoABPDemoBBGSCF6210,	 EST, 	_x000D_
UDF1:,	udf data 1,_x000D_
UDF2:,	udf data 2,_x000D_
UDF3:,	udf3,_x000D_
UDF4:,	udf data4,_x000D_
2. Payment Method,_x000D_
Company Name:,	Vaddahun Corp,_x000D_
First Name:,	DULIP,_x000D_
Last Name:,	EKANAYAKE,_x000D_
Business Tax ID:,	999999999,_x000D_
Routing Number:,	****2691,_x000D_
Account Number:,	****8903,_x000D_
Billing Address:,	708 36TH AVE NW,,_x000D_
Hickory, New York NY, 28601,_x000D_
Country:,	UNITED STATES,_x000D_
Account Type:,	Business Checking,_x000D_
3. Payment Plan Information,_x000D_
Payment Plan Type:,	Installment Plan,_x000D_
Payment Plan Duration:,	Daily,_x000D_
Payment Plan Start Date:,	_x000D_
4. Payment Plan,1 Daily payment of $10.00 on 07/30/2026,A Convenience Fee will be added to each transaction issued for 1 Daily payment of 2.00 starting on 07/30/2026 ,Individual Convenience Fee Amount:,	_x000D_
Total Convenience Fees Paid:,	_x000D_
Total Paid under this plan:</t>
  </si>
  <si>
    <t>Wed Jul 29 19:50:56 IST 2026</t>
  </si>
  <si>
    <t>Wed Jul 29 20:10:24 IST 2026</t>
  </si>
  <si>
    <t>Scheduled Payment--View the Information,_x000D_
Remittance ID: 6210-402999,_x000D_
1. Review bill to pay,_x000D_
Pending Bills,	Due Date,	Date Submitted,	Date Modified,	Amount Due,	Amount to Pay,	_x000D_
AutoABPDemoBBGSCF6210,	 EST, 	_x000D_
UDF1:,	udf data 1,_x000D_
UDF2:,	udf data 2,_x000D_
UDF3:,	udf3,_x000D_
UDF4:,	udf data4,_x000D_
2. Payment Method,_x000D_
Company Name:,	Vaddahun Corp,_x000D_
First Name:,	DULIP,_x000D_
Last Name:,	EKANAYAKE,_x000D_
Business Tax ID:,	999999999,_x000D_
Routing Number:,	****2691,_x000D_
Account Number:,	****8903,_x000D_
Billing Address:,	708 36TH AVE NW,,_x000D_
Hickory, New York NY, 28601,_x000D_
Country:,	UNITED STATES,_x000D_
Account Type:,	Business Checking,_x000D_
3. Payment Plan Information,_x000D_
Payment Plan Type:,	Installment Plan,_x000D_
Payment Plan Duration:,	Deferred,_x000D_
Payment Plan Start Date:,	_x000D_
4. Payment Plan,1 Deferred payment of $10.00 on 07/30/2026,A Convenience Fee will be added to each transaction issued for 1 Deferred payment of 2.00 starting on 07/30/2026 ,Individual Convenience Fee Amount:,	_x000D_
Total Convenience Fees Paid:,	_x000D_
Total Paid under this plan:</t>
  </si>
  <si>
    <t>Wed Jul 29 20:29:11 IST 2026</t>
  </si>
  <si>
    <t>Scheduled Payment--View the Information,_x000D_
Remittance ID: 6210-402999,_x000D_
1. Review bill to pay,_x000D_
Pending Bills,	Due Date,	Date Submitted,	Date Modified,	Amount Due,	Amount to Pay,	_x000D_
AutoABPDemoBBGSCF6210,	 EST, 	_x000D_
UDF1:,	udf data 1,_x000D_
UDF2:,	udf data 2,_x000D_
UDF3:,	udf3,_x000D_
UDF4:,	udf data4,_x000D_
2. Payment Method,_x000D_
Company Name:,	Vaddahun Corp,_x000D_
First Name:,	DULIP,_x000D_
Last Name:,	EKANAYAKE,_x000D_
Business Tax ID:,	999999999,_x000D_
Routing Number:,	****2691,_x000D_
Account Number:,	****8903,_x000D_
Billing Address:,	708 36TH AVE NW,,_x000D_
Hickory, New York NY, 28601,_x000D_
Country:,	UNITED STATES,_x000D_
Account Type:,	Business Checking,_x000D_
3. Payment Plan Information,_x000D_
Payment Plan Type:,	Recurring,_x000D_
Payment Plan Duration:,	Daily,_x000D_
Payment Plan Start Date:,	_x000D_
4. Payment Plan, Daily payments of $10.00 starting on 07/30/2026,A Convenience Fee will be added to each transaction issued for Daily payment of 2.00 starting on 07/30/2026 ,Individual Convenience Fee Amount:,	_x000D_
Total Convenience Fees Paid:,	_x000D_
Total Paid under this plan:</t>
  </si>
  <si>
    <t>Wed Jul 29 20:36:39 IST 2026</t>
  </si>
  <si>
    <t>Scheduled Payment--View the Information,_x000D_
Remittance ID: 6210-402999,_x000D_
1. Review bill to pay,_x000D_
Pending Bills,	Due Date,	Date Submitted,	Date Modified,	Amount Due,	Amount to Pay,	_x000D_
AutoABPDemoBBGSCF6210,	 EST, 	_x000D_
UDF1:,	udf data 1,_x000D_
UDF2:,	udf data 2,_x000D_
UDF3:,	udf3,_x000D_
UDF4:,	udf data4,_x000D_
2. Payment Method,_x000D_
Company Name:,	Vaddahun Corp,_x000D_
First Name:,	DULIP,_x000D_
Last Name:,	EKANAYAKE,_x000D_
Business Tax ID:,	999999999,_x000D_
Routing Number:,	****2691,_x000D_
Account Number:,	****8903,_x000D_
Billing Address:,	708 36TH AVE NW,,_x000D_
Hickory, New York NY, 28601,_x000D_
Country:,	UNITED STATES,_x000D_
Account Type:,	Business Checking,_x000D_
3. Payment Plan Information,_x000D_
Payment Plan Type:,	Recurring,_x000D_
Payment Plan Duration:,	Deferred,_x000D_
Payment Plan Start Date:,	_x000D_
4. Payment Plan,1 Deferred payment of $10.00 on 07/30/2026,A Convenience Fee will be added to each transaction issued for 1 Deferred payment of 2.00 starting on 07/30/2026 ,Individual Convenience Fee Amount:,	_x000D_
Total Convenience Fees Paid:,	_x000D_
Total Paid under this plan:</t>
  </si>
  <si>
    <t>Wed Jul 29 20:39:45 IST 2026</t>
  </si>
  <si>
    <t>Scheduled Payment--View the Information,_x000D_
Remittance ID: 6210-402999,_x000D_
1. Review bill to pay,_x000D_
Pending Bills,	Due Date,	Date Submitted,	Date Modified,	Amount Due,	Amount to Pay,	_x000D_
AutoABPDemoBBGSCF6210,	 EST, 	_x000D_
UDF1:,	udf data 1,_x000D_
UDF2:,	udf data 2,_x000D_
UDF3:,	udf3,_x000D_
UDF4:,	udf data4,_x000D_
2. Payment Method,_x000D_
Company Name:,	Vaddahun Corp,_x000D_
First Name:,	DULIP,_x000D_
Last Name:,	EKANAYAKE,_x000D_
Business Tax ID:,	999999999,_x000D_
Routing Number:,	****2691,_x000D_
Account Number:,	****8903,_x000D_
Billing Address:,	708 36TH AVE NW,,_x000D_
Hickory, New York NY, 28601,_x000D_
Country:,	UNITED STATES,_x000D_
Account Type:,Business Checking,_x000D_
3. Payment Plan Information,_x000D_
Payment Plan Type:,	Recurring,_x000D_
Payment Plan Duration:,	Monthly,_x000D_
Payment Plan Start Date:,	_x000D_
4. Payment Plan,Monthly payments of $10.00 starting on 07/30/2026,A Convenience Fee will be added to each transaction issued for Monthly payment of 2.00 starting on 07/30/2026 ,Individual Convenience Fee Amount:,	_x000D_
Total Convenience Fees Paid:,	_x000D_
Total Paid under this plan:</t>
  </si>
  <si>
    <t>Wed Jul 29 20:43:28 IST 2026</t>
  </si>
  <si>
    <t>Wed Jul 29 21:11:27 IST 2026</t>
  </si>
  <si>
    <t>Scheduled Payment--View the Information,_x000D_
Remittance ID: 6210-402999,_x000D_
1. Review bill to pay,_x000D_
Pending Bills,	Due Date,	Date Submitted,	Date Modified,	Amount Due,	Amount to Pay,	_x000D_
AutoABPDemoBBGSCF6210,	 EST, 	_x000D_
UDF1:,	udf data 1,_x000D_
UDF2:,	udf data 2,_x000D_
UDF3:,	udf3,_x000D_
UDF4:,	udf data4,_x000D_
2. Payment Method,_x000D_
First Name:,	DULIP,_x000D_
Last Name:,	EKANAYAKE,_x000D_
Routing Number:,	****2691,_x000D_
Account Number:,	****8904,_x000D_
Billing Address:,	708 36TH AVE NW,,_x000D_
Hickory, New York NY, 28601,_x000D_
Country:,	UNITED STATES,_x000D_
Account Type:,	Personal Checking,_x000D_
3. Payment Plan Information,_x000D_
Payment Plan Type:,	Installment Plan,_x000D_
Payment Plan Duration:,	Daily,_x000D_
Payment Plan Start Date:,	_x000D_
4. Payment Plan,1 Daily payment of $10.00 on 07/30/2026,A Convenience Fee will be added to each transaction issued for 1 Daily payment of 2.00 starting on 07/30/2026 ,Individual Convenience Fee Amount:,	_x000D_
Total Convenience Fees Paid:,	_x000D_
Total Paid under this plan:</t>
  </si>
  <si>
    <t>Wed Jul 29 21:16:02 IST 2026</t>
  </si>
  <si>
    <t>Wed Jul 29 21:19:17 IST 2026</t>
  </si>
  <si>
    <t>Scheduled Payment--View the Information,_x000D_
Remittance ID: 6210-402999,_x000D_
1. Review bill to pay,_x000D_
Pending Bills,	Due Date,	Date Submitted,	Date Modified,	Amount Due,	Amount to Pay,	_x000D_
AutoABPDemoBBGSCF6210,	 EST, 	_x000D_
UDF1:,	udf data 1,_x000D_
UDF2:,	udf data 2,_x000D_
UDF3:,	udf3,_x000D_
UDF4:,	udf data4,_x000D_
2. Payment Method,_x000D_
First Name:,	DULIP,_x000D_
Last Name:,	EKANAYAKE,_x000D_
Routing Number:,	****2691,_x000D_
Account Number:,	****8904,_x000D_
Billing Address:,	708 36TH AVE NW,,_x000D_
Hickory, New York NY, 28601,_x000D_
Country:,	UNITED STATES,_x000D_
Account Type:,	Personal Checking,_x000D_
3. Payment Plan Information,_x000D_
Payment Plan Type:,	Installment Plan,_x000D_
Payment Plan Duration:,	Deferred,_x000D_
Payment Plan Start Date:,	_x000D_
4. Payment Plan,1 Deferred payment of $10.00 on 07/30/2026,A Convenience Fee will be added to each transaction issued for 1 Deferred payment of 2.00 starting on 07/30/2026 ,Individual Convenience Fee Amount:,	_x000D_
Total Convenience Fees Paid:,	_x000D_
Total Paid under this plan:</t>
  </si>
  <si>
    <t>Wed Jul 29 21:24:09 IST 2026</t>
  </si>
  <si>
    <t>Scheduled Payment--View the Information,_x000D_
Remittance ID: 6210-402999,_x000D_
1. Review bill to pay,_x000D_
Pending Bills,	Due Date,	Date Submitted,	Date Modified,	Amount Due,	Amount to Pay,	_x000D_
AutoABPDemoBBGSCF6210,	 EST, 	_x000D_
UDF1:,	udf data 1,_x000D_
UDF2:,	udf data 2,_x000D_
UDF3:,	udf3,_x000D_
UDF4:,	udf data4,_x000D_
2. Payment Method,_x000D_
First Name:,	DULIP,_x000D_
Last Name:,	EKANAYAKE,_x000D_
Routing Number:,	****2691,_x000D_
Account Number:,	****8904,_x000D_
Billing Address:,	708 36TH AVE NW,,_x000D_
Hickory, New York NY, 28601,_x000D_
Country:,	UNITED STATES,_x000D_
Account Type:,	Personal Checking,_x000D_
3. Payment Plan Information,_x000D_
Payment Plan Type:,	Recurring,_x000D_
Payment Plan Duration:,	Daily,_x000D_
Payment Plan Start Date:,	_x000D_
4. Payment Plan, Daily payments of $10.00 starting on 07/30/2026,A Convenience Fee will be added to each transaction issued for Daily payment of 2.00 starting on 07/30/2026 ,Individual Convenience Fee Amount:,	_x000D_
Total Convenience Fees Paid:,	_x000D_
Total Paid under this plan:</t>
  </si>
  <si>
    <t>Wed Jul 29 21:26:47 IST 2026</t>
  </si>
  <si>
    <t>Scheduled Payment--View the Information,_x000D_
Remittance ID: 6210-402999,_x000D_
1. Review bill to pay,_x000D_
Pending Bills,	Due Date,	Date Submitted,	Date Modified,	Amount Due,	Amount to Pay,	_x000D_
AutoABPDemoBBGSCF6210,	 EST, 	_x000D_
UDF1:,	udf data 1,_x000D_
UDF2:,	udf data 2,_x000D_
UDF3:,	udf3,_x000D_
UDF4:,	udf data4,_x000D_
2. Payment Method,_x000D_
First Name:,	DULIP,_x000D_
Last Name:,	EKANAYAKE,_x000D_
Routing Number:,	****2691,_x000D_
Account Number:,	****8904,_x000D_
Billing Address:,	708 36TH AVE NW,,_x000D_
Hickory, New York NY, 28601,_x000D_
Country:,	UNITED STATES,_x000D_
Account Type:,	Personal Checking,_x000D_
3. Payment Plan Information,_x000D_
Payment Plan Type:,	Recurring,_x000D_
Payment Plan Duration:,	Deferred,_x000D_
Payment Plan Start Date:,	_x000D_
4. Payment Plan,1 Deferred payment of $10.00 on 07/30/2026,A Convenience Fee will be added to each transaction issued for 1 Deferred payment of 2.00 starting on 07/30/2026 ,Individual Convenience Fee Amount:,	_x000D_
Total Convenience Fees Paid:,	_x000D_
Total Paid under this plan:</t>
  </si>
  <si>
    <t>Wed Jul 29 21:41:06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</si>
</sst>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1" xfId="0" applyNumberFormat="1" applyBorder="1" applyAlignment="1">
      <alignment wrapText="1"/>
    </xf>
    <xf numFmtId="0" fontId="1" fillId="0" borderId="0" xfId="0" applyFont="1" applyAlignment="1">
      <alignment vertical="center"/>
    </xf>
    <xf numFmtId="49" fontId="0" fillId="0" borderId="2" xfId="0" applyNumberFormat="1" applyBorder="1" applyAlignment="1">
      <alignment wrapText="1"/>
    </xf>
    <xf numFmtId="0" fontId="0" fillId="0" borderId="1" xfId="0" applyBorder="1" applyAlignment="1">
      <alignment vertical="top" wrapText="1"/>
    </xf>
    <xf numFmtId="49" fontId="0" fillId="0" borderId="1" xfId="0" applyNumberFormat="1" applyBorder="1" applyAlignment="1">
      <alignment vertical="top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opLeftCell="A2" workbookViewId="0">
      <selection activeCell="O2" sqref="O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63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32</v>
      </c>
      <c r="L2" s="6" t="str">
        <f ca="1">TEXT(TODAY()+1,"mm/dd/yyyy")</f>
        <v>07/30/2026</v>
      </c>
      <c r="M2" s="7">
        <v>10</v>
      </c>
      <c r="N2" s="8">
        <v>2</v>
      </c>
      <c r="O2" s="9" t="s">
        <v>61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07/30/2026 ,Individual Convenience Fee Amount:,	
Total Convenience Fees Paid:,	
Total Paid under this plan:</v>
      </c>
    </row>
  </sheetData>
  <pageMargins left="0.7" right="0.7" top="0.75" bottom="0.75" header="0.3" footer="0.3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1.90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60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21</v>
      </c>
      <c r="I2" t="s" s="0">
        <v>19</v>
      </c>
      <c r="J2" t="s" s="0">
        <v>20</v>
      </c>
      <c r="K2" s="6" t="s">
        <v>31</v>
      </c>
      <c r="L2" s="6" t="str">
        <f ca="1">TEXT(TODAY()+1,"mm/dd/yyyy")</f>
        <v>07/30/2026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P2"/>
  <sheetViews>
    <sheetView topLeftCell="C1" workbookViewId="0">
      <selection activeCell="I2" sqref="I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72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21</v>
      </c>
      <c r="I2" t="s" s="0">
        <v>19</v>
      </c>
      <c r="J2" t="s" s="0">
        <v>20</v>
      </c>
      <c r="K2" s="6" t="s">
        <v>37</v>
      </c>
      <c r="L2" s="6" t="str">
        <f ca="1">TEXT(TODAY()+1,"mm/dd/yyyy")</f>
        <v>07/30/2026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19.63281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54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21</v>
      </c>
      <c r="I2" t="s" s="0">
        <v>19</v>
      </c>
      <c r="J2" t="s" s="0">
        <v>20</v>
      </c>
      <c r="K2" s="6" t="s">
        <v>42</v>
      </c>
      <c r="L2" s="6" t="str">
        <f ca="1">TEXT(TODAY()+1,"mm/dd/yyyy")</f>
        <v>07/30/2026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30.5429687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47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21</v>
      </c>
      <c r="I2" t="s" s="0">
        <v>19</v>
      </c>
      <c r="J2" t="s" s="0">
        <v>20</v>
      </c>
      <c r="K2" s="6" t="s">
        <v>26</v>
      </c>
      <c r="L2" s="6" t="str">
        <f ca="1">TEXT(TODAY()+1,"mm/dd/yyyy")</f>
        <v>07/30/2026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17.90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59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23</v>
      </c>
      <c r="J2" t="s" s="0">
        <v>20</v>
      </c>
      <c r="K2" s="6" t="s">
        <v>46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Recurring,
Payment Plan Duration:,	Deferred,
Payment Plan Start Date:,	
4. Payment Plan,1 Deferred payment of $10.00 on 07/30/2026,A Convenience Fee will be added to each transaction issued for 1 Deferred payment of 2.00 starting on 07/30/2026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P2"/>
  <sheetViews>
    <sheetView tabSelected="1" topLeftCell="A2" workbookViewId="0">
      <selection activeCell="O2" sqref="O2"/>
    </sheetView>
  </sheetViews>
  <sheetFormatPr defaultRowHeight="14.5" x14ac:dyDescent="0.35"/>
  <cols>
    <col min="11" max="11" customWidth="true" width="23.81640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81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23</v>
      </c>
      <c r="J2" t="s" s="0">
        <v>20</v>
      </c>
      <c r="K2" s="6" t="s">
        <v>41</v>
      </c>
      <c r="L2" s="6" t="str">
        <f ca="1">TEXT(TODAY()+1,"mm/dd/yyyy")</f>
        <v>07/30/2026</v>
      </c>
      <c r="M2" s="7">
        <v>10</v>
      </c>
      <c r="N2" s="8">
        <v>2</v>
      </c>
      <c r="O2" s="9" t="s">
        <v>80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21.81640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69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23</v>
      </c>
      <c r="J2" t="s" s="0">
        <v>20</v>
      </c>
      <c r="K2" s="6" t="s">
        <v>35</v>
      </c>
      <c r="L2" s="6" t="str">
        <f ca="1">TEXT(TODAY()+1,"mm/dd/yyyy")</f>
        <v>07/30/2026</v>
      </c>
      <c r="M2" s="7">
        <v>10</v>
      </c>
      <c r="N2" s="8">
        <v>2</v>
      </c>
      <c r="O2" s="9" t="s">
        <v>68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P2"/>
  <sheetViews>
    <sheetView workbookViewId="0">
      <selection activeCell="I2" sqref="I2"/>
    </sheetView>
  </sheetViews>
  <sheetFormatPr defaultRowHeight="14.5" x14ac:dyDescent="0.35"/>
  <cols>
    <col min="11" max="11" customWidth="true" width="28.5429687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52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23</v>
      </c>
      <c r="J2" t="s" s="0">
        <v>20</v>
      </c>
      <c r="K2" s="6" t="s">
        <v>30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Deferred,
Payment Plan Start Date:,	
4. Payment Plan,1 Deferred payment of $10.00 on 07/30/2026,A Convenience Fee will be added to each transaction issued for 1 Deferred payment of 2.00 starting on 07/30/2026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6.0898437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58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19</v>
      </c>
      <c r="J2" t="s" s="0">
        <v>20</v>
      </c>
      <c r="K2" s="6" t="s">
        <v>45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Account Type:,	Personal Savings,
3. Payment Plan Information,
Payment Plan Type:,	Recurring,
Payment Plan Duration:,	Daily,
Payment Plan Start Date:,	
4. Payment Plan, Daily payments of $10.00 starting on 07/30/2026,A Convenience Fee will be added to each transaction issued for Daily payment of 2.00 starting on 07/30/2026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25.7265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79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19</v>
      </c>
      <c r="J2" t="s" s="0">
        <v>20</v>
      </c>
      <c r="K2" s="6" t="s">
        <v>40</v>
      </c>
      <c r="L2" s="6" t="str">
        <f ca="1">TEXT(TODAY()+1,"mm/dd/yyyy")</f>
        <v>07/30/2026</v>
      </c>
      <c r="M2" s="7">
        <v>10</v>
      </c>
      <c r="N2" s="8">
        <v>2</v>
      </c>
      <c r="O2" s="9" t="s">
        <v>78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0.7265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67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19</v>
      </c>
      <c r="J2" t="s" s="0">
        <v>20</v>
      </c>
      <c r="K2" s="6" t="s">
        <v>34</v>
      </c>
      <c r="L2" s="6" t="str">
        <f ca="1">TEXT(TODAY()+1,"mm/dd/yyyy")</f>
        <v>07/30/2026</v>
      </c>
      <c r="M2" s="7">
        <v>10</v>
      </c>
      <c r="N2" s="8">
        <v>2</v>
      </c>
      <c r="O2" s="9" t="s">
        <v>66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34.7265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51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19</v>
      </c>
      <c r="J2" t="s" s="0">
        <v>20</v>
      </c>
      <c r="K2" s="6" t="s">
        <v>29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Daily,
Payment Plan Start Date:,	
4. Payment Plan, Daily payments of $10.00 starting on 07/30/2026,A Convenience Fee will be added to each transaction issued for Daily payment of 2.00 starting on 07/30/2026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P2"/>
  <sheetViews>
    <sheetView workbookViewId="0">
      <selection activeCell="I2" sqref="I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r="1" spans="1:16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57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23</v>
      </c>
      <c r="J2" t="s" s="0">
        <v>20</v>
      </c>
      <c r="K2" s="6" t="s">
        <v>44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Deferred,
Payment Plan Start Date:,	
4. Payment Plan,1 Deferred payment of $10.00 on 07/30/2026,A Convenience Fee will be added to each transaction issued for 1 Deferred payment of 2.00 starting on 07/30/2026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P2"/>
  <sheetViews>
    <sheetView workbookViewId="0">
      <selection activeCell="N2" activeCellId="1" sqref="O2 N2"/>
    </sheetView>
  </sheetViews>
  <sheetFormatPr defaultRowHeight="14.5" x14ac:dyDescent="0.35"/>
  <cols>
    <col min="11" max="11" customWidth="true" width="24.269531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77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23</v>
      </c>
      <c r="J2" t="s" s="0">
        <v>20</v>
      </c>
      <c r="K2" s="6" t="s">
        <v>39</v>
      </c>
      <c r="L2" s="6" t="str">
        <f ca="1">TEXT(TODAY()+1,"mm/dd/yyyy")</f>
        <v>07/30/2026</v>
      </c>
      <c r="M2" s="7">
        <v>10</v>
      </c>
      <c r="N2" s="8">
        <v>2</v>
      </c>
      <c r="O2" s="9" t="s">
        <v>76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3.7265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50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23</v>
      </c>
      <c r="J2" t="s" s="0">
        <v>20</v>
      </c>
      <c r="K2" s="6" t="s">
        <v>28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Deferred,
Payment Plan Start Date:,	
4. Payment Plan,1 Deferred payment of $10.00 on 07/30/2026,A Convenience Fee will be added to each transaction issued for 1 Deferred payment of 2.00 starting on 07/30/2026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5.81640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65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23</v>
      </c>
      <c r="J2" t="s" s="0">
        <v>20</v>
      </c>
      <c r="K2" s="6" t="s">
        <v>33</v>
      </c>
      <c r="L2" s="6" t="str">
        <f ca="1">TEXT(TODAY()+1,"mm/dd/yyyy")</f>
        <v>07/30/2026</v>
      </c>
      <c r="M2" s="7">
        <v>10</v>
      </c>
      <c r="N2" s="8">
        <v>2</v>
      </c>
      <c r="O2" s="9" t="s">
        <v>64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4.0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55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24</v>
      </c>
      <c r="K2" s="6" t="s">
        <v>43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Daily,
Payment Plan Start Date:,	
4. Payment Plan,1 Daily payment of $10.00 on 07/30/2026,A Convenience Fee will be added to each transaction issued for 1 Daily payment of 2.00 starting on 07/30/2026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23.0898437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74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24</v>
      </c>
      <c r="K2" s="6" t="s">
        <v>38</v>
      </c>
      <c r="L2" s="6" t="str">
        <f ca="1">TEXT(TODAY()+1,"mm/dd/yyyy")</f>
        <v>07/30/2026</v>
      </c>
      <c r="M2" s="7">
        <v>10</v>
      </c>
      <c r="N2" s="8">
        <v>2</v>
      </c>
      <c r="O2" s="9" t="s">
        <v>73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P2"/>
  <sheetViews>
    <sheetView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48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24</v>
      </c>
      <c r="K2" s="6" t="s">
        <v>27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$10.00 on 07/30/2026,A Convenience Fee will be added to each transaction issued for 1 Daily payment of 2.00 starting on 07/30/2026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0.363281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62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24</v>
      </c>
      <c r="K2" s="6" t="s">
        <v>32</v>
      </c>
      <c r="L2" s="6" t="str">
        <f ca="1">TEXT(TODAY()+1,"mm/dd/yyyy")</f>
        <v>07/30/2026</v>
      </c>
      <c r="M2" s="7">
        <v>10</v>
      </c>
      <c r="N2" s="8">
        <v>2</v>
      </c>
      <c r="O2" s="9" t="s">
        <v>61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49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20</v>
      </c>
      <c r="K2" s="6" t="s">
        <v>27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$10.00 on 07/30/2026,A Convenience Fee will be added to each transaction issued for 1 Daily payment of 2.00 starting on 07/30/2026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29.0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75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20</v>
      </c>
      <c r="K2" s="6" t="s">
        <v>38</v>
      </c>
      <c r="L2" s="6" t="str">
        <f ca="1">TEXT(TODAY()+1,"mm/dd/yyyy")</f>
        <v>07/30/2026</v>
      </c>
      <c r="M2" s="7">
        <v>10</v>
      </c>
      <c r="N2" s="8">
        <v>2</v>
      </c>
      <c r="O2" s="9" t="s">
        <v>73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9.90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56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43</v>
      </c>
      <c r="L2" s="6" t="str">
        <f ca="1">TEXT(TODAY()+1,"mm/dd/yyyy")</f>
        <v>07/30/2026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Daily,
Payment Plan Start Date:,	
4. Payment Plan,1 Daily payment of $10.00 on 07/30/2026,A Convenience Fee will be added to each transaction issued for 1 Daily payment of 2.00 starting on 07/30/2026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27.179687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71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25</v>
      </c>
      <c r="J2" t="s" s="0">
        <v>20</v>
      </c>
      <c r="K2" s="6" t="s">
        <v>36</v>
      </c>
      <c r="L2" s="6" t="str">
        <f ca="1">TEXT(TODAY()+1,"mm/dd/yyyy")</f>
        <v>07/30/2026</v>
      </c>
      <c r="M2" s="7">
        <v>10</v>
      </c>
      <c r="N2" s="8">
        <v>2</v>
      </c>
      <c r="O2" s="9" t="s">
        <v>70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2026-07-29T16:10:48Z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e51ac3-344e-4d7e-82a2-d6ed2fbd0340_Enabled">
    <vt:lpwstr>true</vt:lpwstr>
  </property>
  <property fmtid="{D5CDD505-2E9C-101B-9397-08002B2CF9AE}" pid="3" name="MSIP_Label_0fe51ac3-344e-4d7e-82a2-d6ed2fbd0340_SetDate">
    <vt:lpwstr>2025-09-15T19:18:12Z</vt:lpwstr>
  </property>
  <property fmtid="{D5CDD505-2E9C-101B-9397-08002B2CF9AE}" pid="4" name="MSIP_Label_0fe51ac3-344e-4d7e-82a2-d6ed2fbd0340_Method">
    <vt:lpwstr>Privileged</vt:lpwstr>
  </property>
  <property fmtid="{D5CDD505-2E9C-101B-9397-08002B2CF9AE}" pid="5" name="MSIP_Label_0fe51ac3-344e-4d7e-82a2-d6ed2fbd0340_Name">
    <vt:lpwstr>Public</vt:lpwstr>
  </property>
  <property fmtid="{D5CDD505-2E9C-101B-9397-08002B2CF9AE}" pid="6" name="MSIP_Label_0fe51ac3-344e-4d7e-82a2-d6ed2fbd0340_SiteId">
    <vt:lpwstr>1f7c1878-7408-4f86-b429-cf17f96a717c</vt:lpwstr>
  </property>
  <property fmtid="{D5CDD505-2E9C-101B-9397-08002B2CF9AE}" pid="7" name="MSIP_Label_0fe51ac3-344e-4d7e-82a2-d6ed2fbd0340_ActionId">
    <vt:lpwstr>79d9fbb5-dbb1-4df5-8faf-47d3ac8a6478</vt:lpwstr>
  </property>
  <property fmtid="{D5CDD505-2E9C-101B-9397-08002B2CF9AE}" pid="8" name="MSIP_Label_0fe51ac3-344e-4d7e-82a2-d6ed2fbd0340_ContentBits">
    <vt:lpwstr>2</vt:lpwstr>
  </property>
  <property fmtid="{D5CDD505-2E9C-101B-9397-08002B2CF9AE}" pid="9" name="MSIP_Label_0fe51ac3-344e-4d7e-82a2-d6ed2fbd0340_Tag">
    <vt:lpwstr>10, 0, 1, 1</vt:lpwstr>
  </property>
</Properties>
</file>