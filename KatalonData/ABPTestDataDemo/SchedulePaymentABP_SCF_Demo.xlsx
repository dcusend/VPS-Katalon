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8A34E824-18E2-44C1-972F-C712BCA2976E}" revIDLastSave="0" xr10:uidLastSave="{00000000-0000-0000-0000-000000000000}" xr6:coauthVersionLast="47" xr6:coauthVersionMax="47"/>
  <bookViews>
    <workbookView activeTab="5" firstSheet="5" windowHeight="11500" windowWidth="19420" xWindow="-110" xr2:uid="{00000000-000D-0000-FFFF-FFFF00000000}" yWindow="-110"/>
  </bookViews>
  <sheets>
    <sheet name="CVCSPSCFCorp_IPDailyNOP" r:id="rId1" sheetId="1"/>
    <sheet name="CVCSPSCFCorp_AutomaticPayment" r:id="rId2" sheetId="2"/>
    <sheet name="CVCSPSCFPC_AutomaticPayment" r:id="rId3" sheetId="4"/>
    <sheet name="CVCSPSCFPS_AutomaticPayment" r:id="rId4" sheetId="3"/>
    <sheet name="CVCSPSCFCC_AutomaticPayment" r:id="rId5" sheetId="5"/>
    <sheet name="CVCSPSCFPS_RecDeferred" r:id="rId6" sheetId="6"/>
    <sheet name="CVCSPSCFPC_RecDeferred" r:id="rId7" sheetId="7"/>
    <sheet name="CVCSPSCFCorp_RecDeferred" r:id="rId8" sheetId="8"/>
    <sheet name="CVCSPSCFCC_RecDeferred" r:id="rId9" sheetId="9"/>
    <sheet name="CVCSPSCFPS_RecDaily" r:id="rId10" sheetId="10"/>
    <sheet name="CVCSPSCFPC_RecDaily" r:id="rId11" sheetId="11"/>
    <sheet name="CVCSPSCFCorp_RecDaily" r:id="rId12" sheetId="12"/>
    <sheet name="CVCSPSCFCC_RecDaily" r:id="rId13" sheetId="13"/>
    <sheet name="CVCSPSCFPS_IPDeferred" r:id="rId14" sheetId="14"/>
    <sheet name="CVCSPSCFPC_IPDeferred" r:id="rId15" sheetId="15"/>
    <sheet name="CVCSPSCFCC_IPDeferred" r:id="rId16" sheetId="16"/>
    <sheet name="CVCSPSCFCorp_IPDeferred" r:id="rId17" sheetId="17"/>
    <sheet name="CVCSPSCFPS_IPDailyIA" r:id="rId18" sheetId="18"/>
    <sheet name="CVCSPSCFPC_IPDailyIA" r:id="rId19" sheetId="19"/>
    <sheet name="CVCSPSCFCC_IPDailyIA" r:id="rId20" sheetId="20"/>
    <sheet name="CVCSPSCFCorp_IPDailyIA" r:id="rId21" sheetId="21"/>
    <sheet name="CVCSPSCFCC_IPDailyNOP" r:id="rId22" sheetId="22"/>
    <sheet name="CVCSPSCFPC_IPDailyNOP" r:id="rId23" sheetId="23"/>
    <sheet name="CVCSPSCFPS_IPDailyNOP" r:id="rId24" sheetId="24"/>
    <sheet name="CVCSPSCFCorp_RecMonthly" r:id="rId25" sheetId="25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25" l="1" r="L2"/>
  <c i="25" r="P2" s="1"/>
  <c i="25" r="G2"/>
  <c i="25" l="1" r="O2"/>
  <c i="4" r="G2"/>
  <c i="24" r="G2"/>
  <c i="23" r="G2"/>
  <c i="22" r="G2"/>
  <c i="22" r="L2"/>
  <c i="22" r="P2" s="1"/>
  <c i="22" r="O2" s="1"/>
  <c i="23" r="L2"/>
  <c i="23" r="P2" s="1"/>
  <c i="23" r="O2" s="1"/>
  <c i="24" r="L2"/>
  <c i="24" r="P2" s="1"/>
  <c i="24" r="O2" s="1"/>
  <c i="20" r="G2"/>
  <c i="19" r="G2"/>
  <c i="18" r="G2"/>
  <c i="21" r="L2"/>
  <c i="21" r="P2" s="1"/>
  <c i="21" r="O2" s="1"/>
  <c i="21" r="G2"/>
  <c i="20" r="L2"/>
  <c i="20" r="P2" s="1"/>
  <c i="20" r="O2" s="1"/>
  <c i="19" r="L2"/>
  <c i="19" r="P2" s="1"/>
  <c i="19" r="O2" s="1"/>
  <c i="18" r="L2"/>
  <c i="18" r="P2" s="1"/>
  <c i="18" r="O2" s="1"/>
  <c i="15" r="G2"/>
  <c i="16" r="G2"/>
  <c i="17" r="G2"/>
  <c i="17" r="L2"/>
  <c i="17" r="P2" s="1"/>
  <c i="17" r="O2" s="1"/>
  <c i="16" r="L2"/>
  <c i="16" r="P2" s="1"/>
  <c i="16" r="O2" s="1"/>
  <c i="15" r="L2"/>
  <c i="15" r="P2" s="1"/>
  <c i="15" r="O2" s="1"/>
  <c i="14" r="L2"/>
  <c i="14" r="P2" s="1"/>
  <c i="14" r="G2"/>
  <c i="11" r="G2"/>
  <c i="12" r="G2"/>
  <c i="13" r="G2"/>
  <c i="13" r="L2"/>
  <c i="13" r="P2" s="1"/>
  <c i="13" r="O2" s="1"/>
  <c i="12" r="L2"/>
  <c i="12" r="P2" s="1"/>
  <c i="12" r="O2" s="1"/>
  <c i="11" r="L2"/>
  <c i="11" r="P2" s="1"/>
  <c i="10" r="L2"/>
  <c i="10" r="P2" s="1"/>
  <c i="10" r="G2"/>
  <c i="9" r="G2"/>
  <c i="9" r="L2"/>
  <c i="9" r="P2" s="1"/>
  <c i="9" r="O2" s="1"/>
  <c i="6" r="L2"/>
  <c i="6" r="P2" s="1"/>
  <c i="6" r="O2" s="1"/>
  <c i="7" r="L2"/>
  <c i="7" r="P2" s="1"/>
  <c i="7" r="O2" s="1"/>
  <c i="8" r="L2"/>
  <c i="8" r="P2" s="1"/>
  <c i="8" r="O2" s="1"/>
  <c i="7" r="G2"/>
  <c i="8" r="G2"/>
  <c i="6" r="G2"/>
  <c i="14" l="1" r="O2"/>
  <c i="11" r="O2"/>
  <c i="10" r="O2"/>
  <c i="5" r="G2"/>
  <c i="5" r="P2"/>
  <c i="5" r="L2"/>
  <c i="4" r="P2"/>
  <c i="4" r="L2"/>
  <c i="3" r="G2"/>
  <c i="3" r="P2"/>
  <c i="3" r="L2"/>
  <c i="2" r="P2"/>
  <c i="2" r="L2"/>
  <c i="2" r="G2"/>
  <c i="1" l="1" r="L2"/>
  <c i="1" r="P2" s="1"/>
  <c i="1" r="G2"/>
  <c i="1" l="1" r="O2"/>
</calcChain>
</file>

<file path=xl/sharedStrings.xml><?xml version="1.0" encoding="utf-8"?>
<sst xmlns="http://schemas.openxmlformats.org/spreadsheetml/2006/main" count="785" uniqueCount="138">
  <si>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</si>
  <si>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</si>
  <si>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</si>
  <si>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</si>
  <si>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</si>
  <si>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</si>
  <si>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</si>
  <si>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</si>
  <si>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</si>
  <si>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</si>
  <si>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</si>
  <si>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</si>
  <si>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</si>
  <si>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</si>
  <si>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</si>
  <si>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</si>
  <si>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</si>
  <si>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</si>
  <si>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</si>
  <si>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</si>
  <si>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</si>
  <si>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AutomaticPayment</t>
  </si>
  <si>
    <t>RecurringAmount</t>
  </si>
  <si>
    <t>Deferred</t>
  </si>
  <si>
    <t>IndividualAmount</t>
  </si>
  <si>
    <t>Monthly</t>
  </si>
  <si>
    <t>Fri Dec 26 21:37:24 IST 2025</t>
  </si>
  <si>
    <t>Scheduled Payment--View the Information,
Remittance ID: 6207-402998,
1. Review bill to pay,
Pending Bills,	Due Date,	Date Submitted,	Date Modified,	Amount Due,	Amount to Pay,	
AutoABPUser6210,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Payment Plan Type:,	Automatic Payment 
Payment Plan Start Date:,	
4. Payment Plan, Amount due will be paid 3 calendar days before the Due Date</t>
  </si>
  <si>
    <t>Fri Jan 02 20:14:27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</si>
  <si>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Daily,
Payment Plan Start Date:,	
4. Payment Plan,1 Daily payment of $</t>
  </si>
  <si>
    <t>Fri Jan 02 20:30:15 IST 2026</t>
  </si>
  <si>
    <t>Fri Jan 02 20:35:28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</si>
  <si>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Deferred,
Payment Plan Start Date:,	
4. Payment Plan,1 Deferred payment of $</t>
  </si>
  <si>
    <t>Fri Jan 02 20:40:58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</si>
  <si>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Daily,
Payment Plan Start Date:,	
4. Payment Plan, Daily payments of $</t>
  </si>
  <si>
    <t>Fri Jan 02 22:22:44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</si>
  <si>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Deferred,
Payment Plan Start Date:,	
4. Payment Plan,1 Deferred payment of $</t>
  </si>
  <si>
    <t>Fri Jan 02 22:29:45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</si>
  <si>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28601
Country:,	UNITED STATES,
Account Type:,	Business Checking,3. Payment Plan Information,
Payment Plan Type:,	Automatic Payment 
Payment Plan Start Date:,	
4. Payment Plan, Amount due will be paid 3 calendar days before the Due Date</t>
  </si>
  <si>
    <t>Fri Jan 02 22:51:23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</si>
  <si>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Daily,
Payment Plan Start Date:,	
4. Payment Plan,1 Daily payment of $</t>
  </si>
  <si>
    <t>Fri Jan 02 23:10:45 IST 2026</t>
  </si>
  <si>
    <t>Sun Jan 04 23:17:21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</si>
  <si>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Deferred,
Payment Plan Start Date:,	
4. Payment Plan,1 Deferred payment of $</t>
  </si>
  <si>
    <t>Sun Jan 04 23:21:56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</si>
  <si>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Daily,
Payment Plan Start Date:,	
4. Payment Plan, Daily payments of $</t>
  </si>
  <si>
    <t>Sun Jan 04 23:27:00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</si>
  <si>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Deferred,
Payment Plan Start Date:,	
4. Payment Plan,1 Deferred payment of $</t>
  </si>
  <si>
    <t>Sun Jan 04 23:33:55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</si>
  <si>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Type:,Business Checking,
3. Payment Plan Information,
Payment Plan Type:,	Recurring,
Payment Plan Duration:,	Monthly,
Payment Plan Start Date:,	
4. Payment Plan,Monthly payments of $</t>
  </si>
  <si>
    <t>Sun Jan 04 23:39:54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</si>
  <si>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Routing Number:,	****2691,
Account Number:,	****5489,
Billing Address:,	708 36TH AVE NW,,
Hickory, New York NY, 28601,
Country:,	UNITED STATES,
Account Type:,	Business Checking,
Account Type:,	Personal Checking,3. Payment Plan Information,
Payment Plan Type:,	Automatic Payment 
Payment Plan Start Date:,	
4. Payment Plan, Amount due will be paid 3 calendar days before the Due Date</t>
  </si>
  <si>
    <t>Tue Jan 06 19:40:17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</si>
  <si>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Installment Plan,
Payment Plan Duration:,	Daily,
Payment Plan Start Date:,	
4. Payment Plan,1 Daily payment of $</t>
  </si>
  <si>
    <t>Tue Jan 06 20:35:11 IST 2026</t>
  </si>
  <si>
    <t>Tue Jan 06 20:44:22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</si>
  <si>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Installment Plan,
Payment Plan Duration:,	Deferred,
Payment Plan Start Date:,	
4. Payment Plan,1 Deferred payment of $</t>
  </si>
  <si>
    <t>Tue Jan 06 21:24:34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</si>
  <si>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Recurring,
Payment Plan Duration:,	Daily,
Payment Plan Start Date:,	
4. Payment Plan, Daily payments of $</t>
  </si>
  <si>
    <t>Tue Jan 06 21:29:44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</si>
  <si>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Recurring,
Payment Plan Duration:,	Deferred,
Payment Plan Start Date:,	
4. Payment Plan,1 Deferred payment of $</t>
  </si>
  <si>
    <t>Tue Jan 06 21:33:50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</si>
  <si>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Savings,3. Payment Plan Information,
Payment Plan Type:,	Automatic Payment 
Payment Plan Start Date:,	
4. Payment Plan, Amount due will be paid 3 calendar days before the Due Date</t>
  </si>
  <si>
    <t>Tue Jan 06 22:45:44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</si>
  <si>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Daily,
Payment Plan Start Date:,	
4. Payment Plan,1 Daily payment of $</t>
  </si>
  <si>
    <t>Tue Jan 06 22:56:28 IST 2026</t>
  </si>
  <si>
    <t>Tue Jan 06 23:03:07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</si>
  <si>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Deferred,
Payment Plan Start Date:,	
4. Payment Plan,1 Deferred payment of $</t>
  </si>
  <si>
    <t>Tue Jan 06 23:08:30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</si>
  <si>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Account Type:,	Personal Savings,
3. Payment Plan Information,
Payment Plan Type:,	Recurring,
Payment Plan Duration:,	Daily,
Payment Plan Start Date:,	
4. Payment Plan, Daily payments of $</t>
  </si>
  <si>
    <t>Tue Jan 06 23:12:31 IST 2026</t>
  </si>
  <si>
    <t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Recurring,
Payment Plan Duration:,	Deferred,
Payment Plan Start Date:,	
4. Payment Plan,1 Deferred payment of $</t>
  </si>
  <si>
    <t/>
  </si>
  <si>
    <t>Tue Jan 06 23:16:45 IST 2026</t>
  </si>
  <si>
    <t>Fri Jul 03 20:38:47 IST 2026</t>
  </si>
  <si>
    <t>Fri Jul 03 20:39:39 IST 2026</t>
  </si>
  <si>
    <t>Fri Jul 03 20:40:26 IST 2026</t>
  </si>
  <si>
    <t>Fri Jul 03 20:41:26 IST 2026</t>
  </si>
  <si>
    <t>Fri Jul 03 20:42:15 IST 2026</t>
  </si>
  <si>
    <t>Fri Jul 03 20:42:59 IST 2026</t>
  </si>
  <si>
    <t>Fri Jul 03 20:43:55 IST 2026</t>
  </si>
  <si>
    <t>Fri Jul 03 20:45:09 IST 2026</t>
  </si>
  <si>
    <t>Fri Jul 03 20:46:20 IST 2026</t>
  </si>
  <si>
    <t>Fri Jul 03 20:47:25 IST 2026</t>
  </si>
  <si>
    <t>Fri Jul 03 20:48:32 IST 2026</t>
  </si>
  <si>
    <t>Fri Jul 03 20:50:51 IST 2026</t>
  </si>
  <si>
    <t>Fri Jul 03 20:52:58 IST 2026</t>
  </si>
  <si>
    <t>Fri Jul 03 20:55:09 IST 2026</t>
  </si>
  <si>
    <t>Fri Jul 03 20:57:17 IST 2026</t>
  </si>
  <si>
    <t>Fri Jul 03 20:58:24 IST 2026</t>
  </si>
  <si>
    <t>Fri Jul 03 20:59:25 IST 2026</t>
  </si>
  <si>
    <t>Fri Jul 03 21:00:26 IST 2026</t>
  </si>
  <si>
    <t>Fri Jul 03 21:01:30 IST 2026</t>
  </si>
  <si>
    <t>Fri Jul 03 21:02:51 IST 2026</t>
  </si>
  <si>
    <t>Fri Jul 03 21:03:59 IST 2026</t>
  </si>
  <si>
    <t>Fri Jul 03 21:05:11 IST 2026</t>
  </si>
  <si>
    <t>Fri Jul 03 21:06:24 IST 2026</t>
  </si>
  <si>
    <t>Fri Jul 03 21:07:34 IST 2026</t>
  </si>
  <si>
    <t>Fri Jul 03 21:08:43 IST 2026</t>
  </si>
  <si>
    <t>Fri Jul 03 21:09:50 IST 2026</t>
  </si>
  <si>
    <t>Fri Jul 03 21:11:08 IST 2026</t>
  </si>
  <si>
    <t>Fri Jul 03 21:12:21 IST 2026</t>
  </si>
  <si>
    <t>Fri Jul 03 21:13:29 IST 2026</t>
  </si>
  <si>
    <t>Fri Jul 03 21:14:36 IST 2026</t>
  </si>
  <si>
    <t>Fri Jul 03 21:15:39 IST 2026</t>
  </si>
  <si>
    <t>Fri Jul 03 21:16:40 IST 2026</t>
  </si>
  <si>
    <t>Fri Jul 03 21:17:40 IST 2026</t>
  </si>
  <si>
    <t>Fri Jul 03 21:18:50 IST 2026</t>
  </si>
  <si>
    <t>Fri Jul 03 21:19:54 IST 2026</t>
  </si>
  <si>
    <t>Fri Jul 03 21:21:00 IST 2026</t>
  </si>
  <si>
    <t>Fri Jul 03 21:21:59 IST 2026</t>
  </si>
  <si>
    <t>Fri Jul 03 21:22:59 IST 2026</t>
  </si>
  <si>
    <t>Fri Jul 03 21:24:01 IST 2026</t>
  </si>
  <si>
    <t>Fri Jul 03 21:26:09 IST 2026</t>
  </si>
  <si>
    <t>Fri Jul 03 21:28:15 IST 2026</t>
  </si>
  <si>
    <t>Fri Jul 03 21:30:24 IST 2026</t>
  </si>
  <si>
    <t>Fri Jul 03 21:32:29 IST 2026</t>
  </si>
  <si>
    <t>Fri Jul 03 21:33:47 IST 2026</t>
  </si>
  <si>
    <t>Fri Jul 03 21:34:56 IST 2026</t>
  </si>
  <si>
    <t>Fri Jul 03 21:36:07 IST 2026</t>
  </si>
  <si>
    <t>Fri Jul 03 21:37:18 IST 2026</t>
  </si>
  <si>
    <t>Fri Jul 03 21:38:23 IST 2026</t>
  </si>
  <si>
    <t>Fri Jul 03 21:39:34 IST 2026</t>
  </si>
  <si>
    <t>Fri Jul 03 21:40:41 IST 2026</t>
  </si>
  <si>
    <t>Fri Jul 03 21:41:45 IST 2026</t>
  </si>
  <si>
    <t>Fri Jul 03 21:42:46 IST 2026</t>
  </si>
  <si>
    <t>Fri Jul 03 21:43:57 IST 2026</t>
  </si>
  <si>
    <t>Fri Jul 03 21:45:08 IST 2026</t>
  </si>
  <si>
    <t>Fri Jul 03 21:46:11 IST 2026</t>
  </si>
  <si>
    <t>Fri Jul 03 21:47:17 IST 2026</t>
  </si>
  <si>
    <t>Fri Jul 03 21:48:21 IST 2026</t>
  </si>
  <si>
    <t>Fri Jul 03 21:49:26 IST 2026</t>
  </si>
  <si>
    <t>Fri Jul 03 21:50:38 IST 2026</t>
  </si>
  <si>
    <t>Fri Jul 03 21:51:14 IST 2026</t>
  </si>
  <si>
    <t>Fri Jul 03 21:51:57 IST 2026</t>
  </si>
  <si>
    <t>Fri Jul 03 21:52:39 IST 2026</t>
  </si>
  <si>
    <t>Fri Jul 03 21:53:19 IST 2026</t>
  </si>
  <si>
    <t>Fri Jul 03 21:53:53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</si>
</sst>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theme/theme1.xml" Type="http://schemas.openxmlformats.org/officeDocument/2006/relationships/theme"/><Relationship Id="rId27" Target="styles.xml" Type="http://schemas.openxmlformats.org/officeDocument/2006/relationships/styles"/><Relationship Id="rId28" Target="sharedStrings.xml" Type="http://schemas.openxmlformats.org/officeDocument/2006/relationships/sharedStrings"/><Relationship Id="rId29" Target="calcChain.xml" Type="http://schemas.openxmlformats.org/officeDocument/2006/relationships/calcChain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workbookViewId="0">
      <selection activeCell="G2" sqref="G2"/>
    </sheetView>
  </sheetViews>
  <sheetFormatPr defaultRowHeight="14.5" x14ac:dyDescent="0.35"/>
  <cols>
    <col min="7" max="7" customWidth="true" width="23.6328125" collapsed="true"/>
    <col min="11" max="11" customWidth="true" width="3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91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20</v>
      </c>
      <c r="K2" s="6" t="s">
        <v>40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468B6-189E-4673-8A1F-0ED1617BC5B6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1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83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21</v>
      </c>
      <c r="I2" t="s" s="0">
        <v>19</v>
      </c>
      <c r="J2" t="s" s="0">
        <v>20</v>
      </c>
      <c r="K2" s="6" t="s">
        <v>38</v>
      </c>
      <c r="L2" s="6" t="str">
        <f ca="1">TEXT(TODAY()+1,"mm/dd/yyyy")</f>
        <v>01/07/2026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1E8BE-D33F-4968-8266-BE3EF6209F01}">
  <dimension ref="A1:P2"/>
  <sheetViews>
    <sheetView topLeftCell="C1" workbookViewId="0">
      <selection activeCell="I2" sqref="I2"/>
    </sheetView>
  </sheetViews>
  <sheetFormatPr defaultRowHeight="14.5" x14ac:dyDescent="0.35"/>
  <cols>
    <col min="7" max="7" bestFit="true" customWidth="true" width="13.90625" collapsed="true"/>
    <col min="8" max="8" bestFit="true" customWidth="true" width="16.7265625" collapsed="true"/>
    <col min="9" max="9" bestFit="true" customWidth="true" width="20.453125" collapsed="true"/>
    <col min="11" max="11" customWidth="true" width="22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111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21</v>
      </c>
      <c r="I2" t="s" s="0">
        <v>19</v>
      </c>
      <c r="J2" t="s" s="0">
        <v>20</v>
      </c>
      <c r="K2" s="6" t="s">
        <v>51</v>
      </c>
      <c r="L2" s="6" t="str">
        <f ca="1">TEXT(TODAY()+1,"mm/dd/yyyy")</f>
        <v>01/07/2026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F58-F67E-4B6A-98CB-1AEB684984F2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19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132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21</v>
      </c>
      <c r="I2" t="s" s="0">
        <v>19</v>
      </c>
      <c r="J2" t="s" s="0">
        <v>20</v>
      </c>
      <c r="K2" s="6" t="s">
        <v>62</v>
      </c>
      <c r="L2" s="6" t="str">
        <f ca="1">TEXT(TODAY()+1,"mm/dd/yyyy")</f>
        <v>01/07/2026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6453A-566F-4243-8B47-2F88A434AC05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30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74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21</v>
      </c>
      <c r="I2" t="s" s="0">
        <v>19</v>
      </c>
      <c r="J2" t="s" s="0">
        <v>20</v>
      </c>
      <c r="K2" s="6" t="s">
        <v>27</v>
      </c>
      <c r="L2" s="6" t="str">
        <f ca="1">TEXT(TODAY()+1,"mm/dd/yyyy")</f>
        <v>01/07/2026</v>
      </c>
      <c r="M2" s="7">
        <v>10</v>
      </c>
      <c r="N2" s="8">
        <v>2</v>
      </c>
      <c r="O2" s="9"/>
      <c r="P2" s="10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627C4-0639-4F31-B018-C711C491A530}">
  <dimension ref="A1:P2"/>
  <sheetViews>
    <sheetView tabSelected="1" workbookViewId="0">
      <selection activeCell="J2" sqref="J2"/>
    </sheetView>
  </sheetViews>
  <sheetFormatPr defaultRowHeight="14.5" x14ac:dyDescent="0.35"/>
  <cols>
    <col min="11" max="11" customWidth="true" width="17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137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22</v>
      </c>
      <c r="I2" t="s" s="0">
        <v>23</v>
      </c>
      <c r="J2" t="s" s="0">
        <v>20</v>
      </c>
      <c r="K2" s="6" t="s">
        <v>71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Recurring,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CCC01-8D91-4DD2-9F92-02AFB7FF39EF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3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131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22</v>
      </c>
      <c r="I2" t="s" s="0">
        <v>23</v>
      </c>
      <c r="J2" t="s" s="0">
        <v>20</v>
      </c>
      <c r="K2" s="6" t="s">
        <v>60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Recurring,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15A6F-3592-43D9-BD24-8AE9729D36B7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103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23</v>
      </c>
      <c r="J2" t="s" s="0">
        <v>20</v>
      </c>
      <c r="K2" s="6" t="s">
        <v>47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2B77E-010E-4115-88A3-B1B1A5BAFCF1}">
  <dimension ref="A1:P2"/>
  <sheetViews>
    <sheetView workbookViewId="0">
      <selection activeCell="I2" sqref="I2"/>
    </sheetView>
  </sheetViews>
  <sheetFormatPr defaultRowHeight="14.5" x14ac:dyDescent="0.35"/>
  <cols>
    <col min="11" max="11" customWidth="true" width="28.542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79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22</v>
      </c>
      <c r="I2" t="s" s="0">
        <v>23</v>
      </c>
      <c r="J2" t="s" s="0">
        <v>20</v>
      </c>
      <c r="K2" s="6" t="s">
        <v>36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A2A1-86A0-48D6-8551-F95C124FFD93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6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136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22</v>
      </c>
      <c r="I2" t="s" s="0">
        <v>19</v>
      </c>
      <c r="J2" t="s" s="0">
        <v>20</v>
      </c>
      <c r="K2" s="6" t="s">
        <v>69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Account Type:,	Personal Savings,
3. Payment Plan Information,
Payment Plan Type:,	Recurring,
Payment Plan Duration:,	Daily,
Payment Plan Start Date:,	
4. Payment Plan, Daily payments of $10.00 starting on 01/07/2026,A Convenience Fee will be added to each transaction issued for Daily payment of 2.00 starting on 01/07/2026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333DF-E1A4-40DF-9EB9-E0927AF8848C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5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127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22</v>
      </c>
      <c r="I2" t="s" s="0">
        <v>19</v>
      </c>
      <c r="J2" t="s" s="0">
        <v>20</v>
      </c>
      <c r="K2" s="6" t="s">
        <v>58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Recurring,
Payment Plan Duration:,	Daily,
Payment Plan Start Date:,	
4. Payment Plan, Daily payments of $10.00 starting on 01/07/2026,A Convenience Fee will be added to each transaction issued for Daily payment of 2.00 starting on 01/07/2026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13466-8780-4BE7-977B-AE4E7A3ED92C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30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99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19</v>
      </c>
      <c r="J2" t="s" s="0">
        <v>20</v>
      </c>
      <c r="K2" s="6" t="s">
        <v>45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Recurring,
Payment Plan Duration:,	Daily,
Payment Plan Start Date:,	
4. Payment Plan, Daily payments of $10.00 starting on 01/07/2026,A Convenience Fee will be added to each transaction issued for Daily payment of 2.00 starting on 01/07/2026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BB029-1171-41FA-A648-8FA4436E795E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3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78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22</v>
      </c>
      <c r="I2" t="s" s="0">
        <v>19</v>
      </c>
      <c r="J2" t="s" s="0">
        <v>20</v>
      </c>
      <c r="K2" s="6" t="s">
        <v>34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Recurring,
Payment Plan Duration:,	Daily,
Payment Plan Start Date:,	
4. Payment Plan, Daily payments of $10.00 starting on 01/07/2026,A Convenience Fee will be added to each transaction issued for Daily payment of 2.00 starting on 01/07/2026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198C4-EADB-4F49-BACE-22D2E17BA962}">
  <dimension ref="A1:P2"/>
  <sheetViews>
    <sheetView workbookViewId="0">
      <selection activeCell="I2" sqref="I2"/>
    </sheetView>
  </sheetViews>
  <sheetFormatPr defaultRowHeight="14.5" x14ac:dyDescent="0.35"/>
  <cols>
    <col min="11" max="11" customWidth="true" width="24.7265625" collapsed="true"/>
    <col min="15" max="15" customWidth="true" width="15.7265625" collapsed="true"/>
    <col min="16" max="16" customWidth="true" width="17.1796875" collapsed="true"/>
  </cols>
  <sheetData>
    <row ht="29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135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23</v>
      </c>
      <c r="J2" t="s" s="0">
        <v>20</v>
      </c>
      <c r="K2" s="6" t="s">
        <v>67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72D8C-277B-4875-8E77-2139760B0ECA}">
  <dimension ref="A1:P2"/>
  <sheetViews>
    <sheetView workbookViewId="0">
      <selection activeCell="I2" sqref="I2"/>
    </sheetView>
  </sheetViews>
  <sheetFormatPr defaultRowHeight="14.5" x14ac:dyDescent="0.35"/>
  <cols>
    <col min="11" max="11" customWidth="true" width="2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123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23</v>
      </c>
      <c r="J2" t="s" s="0">
        <v>20</v>
      </c>
      <c r="K2" s="6" t="s">
        <v>56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Installment Plan,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C6F33-051D-49DA-A956-296219E0BF32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3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77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23</v>
      </c>
      <c r="J2" t="s" s="0">
        <v>20</v>
      </c>
      <c r="K2" s="6" t="s">
        <v>32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06A84-4AB3-491D-9D66-F6130A959AD3}">
  <dimension ref="A1:P2"/>
  <sheetViews>
    <sheetView workbookViewId="0">
      <selection activeCell="I2" sqref="I2"/>
    </sheetView>
  </sheetViews>
  <sheetFormatPr defaultRowHeight="14.5" x14ac:dyDescent="0.35"/>
  <cols>
    <col min="11" max="11" customWidth="true" width="25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95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23</v>
      </c>
      <c r="J2" t="s" s="0">
        <v>20</v>
      </c>
      <c r="K2" s="6" t="s">
        <v>43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Deferred,
Payment Plan Start Date:,	
4. Payment Plan,1 Deferred payment of $10.00 on 01/07/2026,A Convenience Fee will be added to each transaction issued for 1 Deferred payment of 2.00 starting on 01/07/2026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F609E-8671-42DF-A52E-E0D9BD0CD203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4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133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24</v>
      </c>
      <c r="K2" s="6" t="s">
        <v>64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00924-F2FB-45A8-BED7-C929CC9ED1B0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3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115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19</v>
      </c>
      <c r="J2" t="s" s="0">
        <v>24</v>
      </c>
      <c r="K2" s="6" t="s">
        <v>53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82DF2-9DD6-4023-94DD-D03DA9278EDA}">
  <dimension ref="A1:P2"/>
  <sheetViews>
    <sheetView workbookViewId="0">
      <selection activeCell="I2" sqref="I2"/>
    </sheetView>
  </sheetViews>
  <sheetFormatPr defaultRowHeight="14.5" x14ac:dyDescent="0.35"/>
  <cols>
    <col min="11" max="11" customWidth="true" width="21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75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19</v>
      </c>
      <c r="J2" t="s" s="0">
        <v>24</v>
      </c>
      <c r="K2" s="6" t="s">
        <v>29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1098-DCCB-4F87-87C7-D2AB1CA20D07}">
  <dimension ref="A1:P2"/>
  <sheetViews>
    <sheetView workbookViewId="0">
      <selection activeCell="H2" sqref="H2"/>
    </sheetView>
  </sheetViews>
  <sheetFormatPr defaultRowHeight="14.5" x14ac:dyDescent="0.35"/>
  <cols>
    <col min="11" max="11" customWidth="true" width="20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87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24</v>
      </c>
      <c r="K2" s="6" t="s">
        <v>40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	Business Checking,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C6D03-D5E5-4638-94D0-65ECE68C7A9E}">
  <dimension ref="A1:P2"/>
  <sheetViews>
    <sheetView workbookViewId="0">
      <selection activeCell="K2" sqref="K2"/>
    </sheetView>
  </sheetViews>
  <sheetFormatPr defaultRowHeight="14.5" x14ac:dyDescent="0.35"/>
  <cols>
    <col min="11" max="11" customWidth="true" width="27.089843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76</v>
      </c>
      <c r="C2" s="4"/>
      <c r="D2" s="5" t="s">
        <v>15</v>
      </c>
      <c r="E2" s="5" t="s">
        <v>16</v>
      </c>
      <c r="F2" s="5" t="s">
        <v>17</v>
      </c>
      <c r="G2" t="str" s="0">
        <f>"Bridges"</f>
        <v>Bridges</v>
      </c>
      <c r="H2" t="s" s="0">
        <v>18</v>
      </c>
      <c r="I2" t="s" s="0">
        <v>19</v>
      </c>
      <c r="J2" t="s" s="0">
        <v>20</v>
      </c>
      <c r="K2" s="6" t="s">
        <v>29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Name Appearing on Card:,	DULIP EKANAYAKE,
Card Type:,Visa,
Card Number:,47****0011,
Expiration Date:,12/2028
Billing Address:,	708 36TH AVE NW,
Hickory,  New York ,  28601,
Country:,	UNITED STATES,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E6D05-9B7E-4C82-8712-7C58E6433EF7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9.0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119</v>
      </c>
      <c r="C2" s="4"/>
      <c r="D2" s="5" t="s">
        <v>15</v>
      </c>
      <c r="E2" s="5" t="s">
        <v>16</v>
      </c>
      <c r="F2" s="5" t="s">
        <v>17</v>
      </c>
      <c r="G2" t="str" s="0">
        <f>"Carlos"</f>
        <v>Carlos</v>
      </c>
      <c r="H2" t="s" s="0">
        <v>18</v>
      </c>
      <c r="I2" t="s" s="0">
        <v>19</v>
      </c>
      <c r="J2" t="s" s="0">
        <v>20</v>
      </c>
      <c r="K2" s="6" t="s">
        <v>53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Checking,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C360F-0C63-4638-A4B3-246CDDD4C83D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9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134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20</v>
      </c>
      <c r="K2" s="6" t="s">
        <v>64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First Name:,	DULIP,
Last Name:,	EKANAYAKE,
Routing Number:,	****2691,
Account Number:,	****5489,
Billing Address:,	708 36TH AVE NW,,
Hickory, New York NY, 28601,
Country:,	UNITED STATES,
Account Type:,	Personal Savings,
3. Payment Plan Information,
Payment Plan Type:,	Installment Plan,
Payment Plan Duration:,	Daily,
Payment Plan Start Date:,	
4. Payment Plan,1 Daily payment of $10.00 on 01/07/2026,A Convenience Fee will be added to each transaction issued for 1 Daily payment of 2.00 starting on 01/07/2026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AE7D8-8383-49E4-B847-6D1C69A1CC13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7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107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22</v>
      </c>
      <c r="I2" t="s" s="0">
        <v>25</v>
      </c>
      <c r="J2" t="s" s="0">
        <v>20</v>
      </c>
      <c r="K2" s="6" t="s">
        <v>49</v>
      </c>
      <c r="L2" s="6" t="str">
        <f ca="1">TEXT(TODAY()+1,"mm/dd/yyyy")</f>
        <v>01/07/2026</v>
      </c>
      <c r="M2" s="7">
        <v>10</v>
      </c>
      <c r="N2" s="8">
        <v>2</v>
      </c>
      <c r="O2" s="9" t="str">
        <f ca="1">K2&amp;TEXT(M2,"0.00")&amp;" starting on "&amp;L2&amp;","&amp;P2</f>
        <v>Scheduled Payment--View the Information,
Remittance ID: 6210-402999,
1. Review bill to pay,
Pending Bills,	Due Date,	Date Submitted,	Date Modified,	Amount Due,	Amount to Pay,	
AutoABPDemoBBGSCF6210,	 EST, 	
UDF1:,	udf data 1,
UDF2:,	udf data 2,
UDF3:,	udf3,
UDF4:,	udf data4,
2. Payment Method,
Company Name:,	Vaddahun Corp,
First Name:,	DULIP,
Last Name:,	EKANAYAKE,
Business Tax ID:,	999999999,
Routing Number:,	****2691,
Account Number:,	****5489,
Billing Address:,	708 36TH AVE NW,,
Hickory, New York NY, 28601,
Country:,	UNITED STATES,
Account Type:,Business Checking,
3. Payment Plan Information,
Payment Plan Type:,	Recurring,
Payment Plan Duration:,	Monthly,
Payment Plan Start Date:,	
4. Payment Plan,Monthly payments of $10.00 starting on 01/07/2026,A Convenience Fee will be added to each transaction issued for Monthly payment of 2.00 starting on 01/07/2026 ,Individual Convenience Fee Amount:,	
Total Convenience Fees Paid:,	
Total Paid under this plan:</v>
      </c>
      <c r="P2" s="10" t="str">
        <f ca="1">"A Convenience Fee will be added to each transaction issued for Monthly payment of "&amp;  TEXT(N2,"0.00")&amp;" starting on "&amp;L2&amp;" ,Individual Convenience Fee Amount:,	
Total Convenience Fees Paid:,	
Total Paid under this plan:"</f>
        <v>A Convenience Fee will be added to each transaction issued for Monthly payment of 2.00 starting on 01/07/2026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25</vt:i4>
      </vt:variant>
    </vt:vector>
  </HeadingPairs>
  <TitlesOfParts>
    <vt:vector baseType="lpstr" size="25">
      <vt:lpstr>CVCSPSCFCorp_IPDailyNOP</vt:lpstr>
      <vt:lpstr>CVCSPSCFCorp_AutomaticPayment</vt:lpstr>
      <vt:lpstr>CVCSPSCFPC_AutomaticPayment</vt:lpstr>
      <vt:lpstr>CVCSPSCFPS_AutomaticPayment</vt:lpstr>
      <vt:lpstr>CVCSPSCFCC_AutomaticPayment</vt:lpstr>
      <vt:lpstr>CVCSPSCFPS_RecDeferred</vt:lpstr>
      <vt:lpstr>CVCSPSCFPC_RecDeferred</vt:lpstr>
      <vt:lpstr>CVCSPSCFCorp_RecDeferred</vt:lpstr>
      <vt:lpstr>CVCSPSCFCC_RecDeferred</vt:lpstr>
      <vt:lpstr>CVCSPSCFPS_RecDaily</vt:lpstr>
      <vt:lpstr>CVCSPSCFPC_RecDaily</vt:lpstr>
      <vt:lpstr>CVCSPSCFCorp_RecDaily</vt:lpstr>
      <vt:lpstr>CVCSPSCFCC_RecDaily</vt:lpstr>
      <vt:lpstr>CVCSPSCFPS_IPDeferred</vt:lpstr>
      <vt:lpstr>CVCSPSCFPC_IPDeferred</vt:lpstr>
      <vt:lpstr>CVCSPSCFCC_IPDeferred</vt:lpstr>
      <vt:lpstr>CVCSPSCFCorp_IPDeferred</vt:lpstr>
      <vt:lpstr>CVCSPSCFPS_IPDailyIA</vt:lpstr>
      <vt:lpstr>CVCSPSCFPC_IPDailyIA</vt:lpstr>
      <vt:lpstr>CVCSPSCFCC_IPDailyIA</vt:lpstr>
      <vt:lpstr>CVCSPSCFCorp_IPDailyIA</vt:lpstr>
      <vt:lpstr>CVCSPSCFCC_IPDailyNOP</vt:lpstr>
      <vt:lpstr>CVCSPSCFPC_IPDailyNOP</vt:lpstr>
      <vt:lpstr>CVCSPSCFPS_IPDailyNOP</vt:lpstr>
      <vt:lpstr>CVCSPSCFCorp_RecMonthly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2026-01-06T17:46:09Z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2025-09-15T19:18:12Z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79d9fbb5-dbb1-4df5-8faf-47d3ac8a6478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