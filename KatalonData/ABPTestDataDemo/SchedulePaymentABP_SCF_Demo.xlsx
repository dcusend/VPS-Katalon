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>
    <mc:Choice Requires="x15">
      <x15ac:absPath xmlns:x15ac="http://schemas.microsoft.com/office/spreadsheetml/2010/11/ac" url="C:\Users\t470258\Documents\VPS-Katalon\KatalonData\ABPTestDataDemo\"/>
    </mc:Choice>
  </mc:AlternateContent>
  <xr:revisionPtr revIDLastSave="0" documentId="13_ncr:1_{0C0CF60E-84D6-47C6-92A4-BD241E16951D}" xr6:coauthVersionLast="47" xr6:coauthVersionMax="47" xr10:uidLastSave="{00000000-0000-0000-0000-000000000000}"/>
  <bookViews>
    <workbookView xWindow="-110" yWindow="-110" windowWidth="19420" windowHeight="11500" firstSheet="6" activeTab="6" xr2:uid="{00000000-000D-0000-FFFF-FFFF00000000}"/>
  </bookViews>
  <sheets>
    <sheet name="CVCSPSCFCorp_IPDailyNOP" sheetId="1" r:id="rId1"/>
    <sheet name="CVCSPSCFCorp_AutomaticPayment" sheetId="2" r:id="rId2"/>
    <sheet name="CVCSPSCFPC_AutomaticPayment" sheetId="4" r:id="rId3"/>
    <sheet name="CVCSPSCFPS_AutomaticPayment" sheetId="3" r:id="rId4"/>
    <sheet name="CVCSPSCFCC_AutomaticPayment" sheetId="5" r:id="rId5"/>
    <sheet name="CVCSPSCFPS_RecDeferred" sheetId="6" r:id="rId6"/>
    <sheet name="CVCSPSCFPC_RecDeferred" sheetId="7" r:id="rId7"/>
    <sheet name="CVCSPSCFCorp_RecDeferred" sheetId="8" r:id="rId8"/>
    <sheet name="CVCSPSCFCC_RecDeferred" sheetId="9" r:id="rId9"/>
    <sheet name="CVCSPSCFPS_RecDaily" sheetId="10" r:id="rId10"/>
    <sheet name="CVCSPSCFPC_RecDaily" sheetId="11" r:id="rId11"/>
    <sheet name="CVCSPSCFCorp_RecDaily" sheetId="12" r:id="rId12"/>
    <sheet name="CVCSPSCFCC_RecDaily" sheetId="13" r:id="rId13"/>
    <sheet name="CVCSPSCFPS_IPDeferred" sheetId="14" r:id="rId14"/>
    <sheet name="CVCSPSCFPC_IPDeferred" sheetId="15" r:id="rId15"/>
    <sheet name="CVCSPSCFCC_IPDeferred" sheetId="16" r:id="rId16"/>
    <sheet name="CVCSPSCFCorp_IPDeferred" sheetId="17" r:id="rId17"/>
    <sheet name="CVCSPSCFPS_IPDailyIA" sheetId="18" r:id="rId18"/>
    <sheet name="CVCSPSCFPC_IPDailyIA" sheetId="19" r:id="rId19"/>
    <sheet name="CVCSPSCFCC_IPDailyIA" sheetId="20" r:id="rId20"/>
    <sheet name="CVCSPSCFCorp_IPDailyIA" sheetId="21" r:id="rId21"/>
    <sheet name="CVCSPSCFCC_IPDailyNOP" sheetId="22" r:id="rId22"/>
    <sheet name="CVCSPSCFPC_IPDailyNOP" sheetId="23" r:id="rId23"/>
    <sheet name="CVCSPSCFPS_IPDailyNOP" sheetId="24" r:id="rId24"/>
    <sheet name="CVCSPSCFCorp_RecMonthly" sheetId="25" r:id="rId25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5" l="1"/>
  <c r="P2" i="25" s="1"/>
  <c r="G2" i="25"/>
  <c r="O2" i="25" l="1"/>
  <c r="G2" i="4"/>
  <c r="G2" i="24"/>
  <c r="G2" i="23"/>
  <c r="G2" i="22"/>
  <c r="L2" i="22"/>
  <c r="P2" i="22" s="1"/>
  <c r="O2" i="22" s="1"/>
  <c r="L2" i="23"/>
  <c r="L2" i="24"/>
  <c r="P2" i="24" s="1"/>
  <c r="O2" i="24" s="1"/>
  <c r="G2" i="20"/>
  <c r="G2" i="19"/>
  <c r="G2" i="18"/>
  <c r="L2" i="21"/>
  <c r="G2" i="21"/>
  <c r="L2" i="20"/>
  <c r="P2" i="20" s="1"/>
  <c r="O2" i="20" s="1"/>
  <c r="L2" i="19"/>
  <c r="L2" i="18"/>
  <c r="P2" i="18" s="1"/>
  <c r="O2" i="18" s="1"/>
  <c r="G2" i="15"/>
  <c r="G2" i="16"/>
  <c r="G2" i="17"/>
  <c r="L2" i="17"/>
  <c r="L2" i="16"/>
  <c r="P2" i="16" s="1"/>
  <c r="O2" i="16" s="1"/>
  <c r="L2" i="15"/>
  <c r="L2" i="14"/>
  <c r="P2" i="14" s="1"/>
  <c r="G2" i="14"/>
  <c r="G2" i="11"/>
  <c r="G2" i="12"/>
  <c r="G2" i="13"/>
  <c r="L2" i="13"/>
  <c r="P2" i="13" s="1"/>
  <c r="O2" i="13" s="1"/>
  <c r="L2" i="12"/>
  <c r="L2" i="11"/>
  <c r="L2" i="10"/>
  <c r="P2" i="10" s="1"/>
  <c r="G2" i="10"/>
  <c r="G2" i="9"/>
  <c r="L2" i="9"/>
  <c r="P2" i="9" s="1"/>
  <c r="O2" i="9" s="1"/>
  <c r="L2" i="6"/>
  <c r="P2" i="6" s="1"/>
  <c r="O2" i="6" s="1"/>
  <c r="L2" i="7"/>
  <c r="L2" i="8"/>
  <c r="G2" i="7"/>
  <c r="G2" i="8"/>
  <c r="G2" i="6"/>
  <c r="P2" i="7" l="1"/>
  <c r="O2" i="7" s="1"/>
  <c r="P2" i="11"/>
  <c r="O2" i="11" s="1"/>
  <c r="P2" i="15"/>
  <c r="O2" i="15" s="1"/>
  <c r="P2" i="23"/>
  <c r="O2" i="23" s="1"/>
  <c r="P2" i="19"/>
  <c r="O2" i="19" s="1"/>
  <c r="P2" i="8"/>
  <c r="O2" i="8" s="1"/>
  <c r="P2" i="12"/>
  <c r="O2" i="12" s="1"/>
  <c r="P2" i="17"/>
  <c r="O2" i="17" s="1"/>
  <c r="P2" i="21"/>
  <c r="O2" i="14"/>
  <c r="O2" i="10"/>
  <c r="G2" i="5"/>
  <c r="P2" i="5"/>
  <c r="L2" i="5"/>
  <c r="P2" i="4"/>
  <c r="L2" i="4"/>
  <c r="G2" i="3"/>
  <c r="P2" i="3"/>
  <c r="L2" i="3"/>
  <c r="P2" i="2"/>
  <c r="L2" i="2"/>
  <c r="G2" i="2"/>
  <c r="L2" i="1" l="1"/>
  <c r="G2" i="1"/>
  <c r="P2" i="1" l="1"/>
  <c r="O2" i="1" s="1"/>
</calcChain>
</file>

<file path=xl/sharedStrings.xml><?xml version="1.0" encoding="utf-8"?>
<sst xmlns="http://schemas.openxmlformats.org/spreadsheetml/2006/main" count="630" uniqueCount="74">
  <si>
    <t>Result</t>
  </si>
  <si>
    <t>Date</t>
  </si>
  <si>
    <t>Notes</t>
  </si>
  <si>
    <t>Execute</t>
  </si>
  <si>
    <t>Amount</t>
  </si>
  <si>
    <t>UDFID</t>
  </si>
  <si>
    <t>PaymentMethod</t>
  </si>
  <si>
    <t>PaymentPlanType</t>
  </si>
  <si>
    <t>PaymentPlanFrequency</t>
  </si>
  <si>
    <t>DivideYourPaymentPlan</t>
  </si>
  <si>
    <t>VTList1</t>
  </si>
  <si>
    <t>CFAmount</t>
  </si>
  <si>
    <t>VTList</t>
  </si>
  <si>
    <t>ReviewConvinienceFee</t>
  </si>
  <si>
    <t>Pass</t>
  </si>
  <si>
    <t>Y</t>
  </si>
  <si>
    <t>10.50</t>
  </si>
  <si>
    <t>1</t>
  </si>
  <si>
    <t>InstallmentPlan</t>
  </si>
  <si>
    <t>Daily</t>
  </si>
  <si>
    <t>NumberOfPayments</t>
  </si>
  <si>
    <t>AutomaticPayment</t>
  </si>
  <si>
    <t>RecurringAmount</t>
  </si>
  <si>
    <t>Deferred</t>
  </si>
  <si>
    <t>IndividualAmount</t>
  </si>
  <si>
    <t>Monthly</t>
  </si>
  <si>
    <t>Scheduled Payment--View the Information,
Remittance ID: 6207-402998,
1. Review bill to pay,
Pending Bills,	Due Date,	Date Submitted,	Date Modified,	Amount Due,	Amount to Pay,	
AutoABPUser6210,	 EST, 	
UDF1:,	udf data 1,
UDF2:,	udf data 2,
UDF3:,	udf3,
UDF4:,	udf data4,
2. Payment Method,
Name Appearing on Card:,	DULIP EKANAYAKE,
Card Type:,Visa,
Card Number:,47****0011,
Expiration Date:,12/2028
Billing Address:,	708 36TH AVE NW,
Hickory,  New York ,  28601,
Country:,	UNITED STATES,
Payment Plan Type:,	Automatic Payment 
Payment Plan Start Date:,	
4. Payment Plan, Amount due will be paid 3 calendar days before the Due Date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</si>
  <si>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Name Appearing on Card:,	DULIP EKANAYAKE,
Card Type:,Visa,
Card Number:,47****0011,
Expiration Date:,12/2028
Billing Address:,	708 36TH AVE NW,
Hickory,  New York ,  28601,
Country:,	UNITED STATES,
3. Payment Plan Information,
Payment Plan Type:,	Installment Plan,
Payment Plan Duration:,	Daily,
Payment Plan Start Date:,	
4. Payment Plan,1 Daily payment of $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</si>
  <si>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Name Appearing on Card:,	DULIP EKANAYAKE,
Card Type:,Visa,
Card Number:,47****0011,
Expiration Date:,12/2028
Billing Address:,	708 36TH AVE NW,
Hickory,  New York ,  28601,
Country:,	UNITED STATES,
3. Payment Plan Information,
Payment Plan Type:,	Installment Plan,
Payment Plan Duration:,	Deferred,
Payment Plan Start Date:,	
4. Payment Plan,1 Deferred payment of $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</si>
  <si>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Name Appearing on Card:,	DULIP EKANAYAKE,
Card Type:,Visa,
Card Number:,47****0011,
Expiration Date:,12/2028
Billing Address:,	708 36TH AVE NW,
Hickory,  New York ,  28601,
Country:,	UNITED STATES,
3. Payment Plan Information,
Payment Plan Type:,	Recurring,
Payment Plan Duration:,	Daily,
Payment Plan Start Date:,	
4. Payment Plan, Daily payments of $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</si>
  <si>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Name Appearing on Card:,	DULIP EKANAYAKE,
Card Type:,Visa,
Card Number:,47****0011,
Expiration Date:,12/2028
Billing Address:,	708 36TH AVE NW,
Hickory,  New York ,  28601,
Country:,	UNITED STATES,
3. Payment Plan Information,
Payment Plan Type:,	Recurring,
Payment Plan Duration:,	Deferred,
Payment Plan Start Date:,	
4. Payment Plan,1 Deferred payment of $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</si>
  <si>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Company Name:,	Vaddahun Corp,
First Name:,	DULIP,
Last Name:,	EKANAYAKE,
Business Tax ID:,	999999999,
Routing Number:,	****2691,
Account Number:,	****5489,
Billing Address:,	708 36TH AVE NW,,
Hickory, New York 28601
Country:,	UNITED STATES,
Account Type:,	Business Checking,3. Payment Plan Information,
Payment Plan Type:,	Automatic Payment 
Payment Plan Start Date:,	
4. Payment Plan, Amount due will be paid 3 calendar days before the Due Date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</si>
  <si>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Company Name:,	Vaddahun Corp,
First Name:,	DULIP,
Last Name:,	EKANAYAKE,
Routing Number:,	****2691,
Account Number:,	****5489,
Billing Address:,	708 36TH AVE NW,,
Hickory, New York NY, 28601,
Country:,	UNITED STATES,
Account Type:,	Business Checking,
Account Type:,	Personal Checking,3. Payment Plan Information,
Payment Plan Type:,	Automatic Payment 
Payment Plan Start Date:,	
4. Payment Plan, Amount due will be paid 3 calendar days before the Due Date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</si>
  <si>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Country:,	UNITED STATES,
Account Type:,	Personal Savings,3. Payment Plan Information,
Payment Plan Type:,	Automatic Payment 
Payment Plan Start Date:,	
4. Payment Plan, Amount due will be paid 3 calendar days before the Due Date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</si>
  <si>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Country:,	UNITED STATES,
Account Type:,	Personal Savings,
3. Payment Plan Information,
Payment Plan Type:,	Installment Plan,
Payment Plan Duration:,	Daily,
Payment Plan Start Date:,	
4. Payment Plan,1 Daily payment of $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</si>
  <si>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Country:,	UNITED STATES,
Account Type:,	Personal Savings,
3. Payment Plan Information,
Payment Plan Type:,	Installment Plan,
Payment Plan Duration:,	Deferred,
Payment Plan Start Date:,	
4. Payment Plan,1 Deferred payment of $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</si>
  <si>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Account Type:,	Personal Savings,
3. Payment Plan Information,
Payment Plan Type:,	Recurring,
Payment Plan Duration:,	Daily,
Payment Plan Start Date:,	
4. Payment Plan, Daily payments of $</t>
  </si>
  <si>
    <t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Country:,	UNITED STATES,
Account Type:,	Personal Savings,
3. Payment Plan Information,
Payment Plan Type:,	Recurring,
Payment Plan Duration:,	Deferred,
Payment Plan Start Date:,	
4. Payment Plan,1 Deferred payment of $</t>
  </si>
  <si>
    <t>Wed Oct 07 23:21:44 IST 2026</t>
  </si>
  <si>
    <t>Wed Oct 07 23:24:24 IST 2026</t>
  </si>
  <si>
    <t>Wed Oct 07 23:25:25 IST 2026</t>
  </si>
  <si>
    <t>Wed Oct 07 23:26:00 IST 2026</t>
  </si>
  <si>
    <t>Wed Oct 07 23:26:30 IST 2026</t>
  </si>
  <si>
    <t>Wed Oct 07 23:27:04 IST 2026</t>
  </si>
  <si>
    <t>Wed Oct 07 23:41:14 IST 2026</t>
  </si>
  <si>
    <t>Wed Oct 07 23:53:04 IST 2026</t>
  </si>
  <si>
    <t>Wed Oct 07 23:53:33 IST 2026</t>
  </si>
  <si>
    <t>Wed Oct 07 23:54:08 IST 2026</t>
  </si>
  <si>
    <t>Wed Oct 07 23:55:07 IST 2026</t>
  </si>
  <si>
    <t>Wed Oct 07 23:56:42 IST 2026</t>
  </si>
  <si>
    <t>Wed Oct 07 23:57:19 IST 2026</t>
  </si>
  <si>
    <t>Fri Oct 09 19:52:36 IST 2026</t>
  </si>
  <si>
    <t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Company Name:,	Vaddahun Corp,_x000D_
First Name:,	DULIP,_x000D_
Last Name:,	EKANAYAKE,_x000D_
Business Tax ID:,	999999999,_x000D_
Routing Number:,	****2691,_x000D_
Account Number:,	****8903,_x000D_
Billing Address:,	708 36TH AVE NW,,_x000D_
Hickory, New York NY, 28601,_x000D_
Country:,	UNITED STATES,_x000D_
Account Type:,	Business Checking,_x000D_
3. Payment Plan Information,_x000D_
Payment Plan Type:,	Installment Plan,_x000D_
Payment Plan Duration:,	Daily,_x000D_
Payment Plan Start Date:,	_x000D_
4. Payment Plan,1 Daily payment of $</t>
  </si>
  <si>
    <t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Company Name:,	Vaddahun Corp,_x000D_
First Name:,	DULIP,_x000D_
Last Name:,	EKANAYAKE,_x000D_
Business Tax ID:,	999999999,_x000D_
Routing Number:,	****2691,_x000D_
Account Number:,	****8903,_x000D_
Billing Address:,	708 36TH AVE NW,,_x000D_
Hickory, New York NY, 28601,_x000D_
Country:,	UNITED STATES,_x000D_
Account Type:,	Business Checking,_x000D_
3. Payment Plan Information,_x000D_
Payment Plan Type:,	Installment Plan,_x000D_
Payment Plan Duration:,	Daily,_x000D_
Payment Plan Start Date:,	_x000D_
4. Payment Plan,1 Daily payment of $10.00 on 10/15/2026,A Convenience Fee will be added to each transaction issued for 1 Daily payment of 2.00 starting on 10/15/2026 ,Individual Convenience Fee Amount:,	_x000D_
Total Convenience Fees Paid:,	_x000D_
Total Paid under this plan:</t>
  </si>
  <si>
    <t>Wed Oct 14 16:08:10 IST 2026</t>
  </si>
  <si>
    <t>Wed Oct 14 17:02:36 IST 2026</t>
  </si>
  <si>
    <t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Company Name:,	Vaddahun Corp,_x000D_
First Name:,	DULIP,_x000D_
Last Name:,	EKANAYAKE,_x000D_
Business Tax ID:,	999999999,_x000D_
Routing Number:,	****2691,_x000D_
Account Number:,	****8903,_x000D_
Billing Address:,	708 36TH AVE NW,,_x000D_
Hickory, New York NY, 28601,_x000D_
Country:,	UNITED STATES,_x000D_
Account Type:,	Business Checking,_x000D_
3. Payment Plan Information,_x000D_
Payment Plan Type:,	Installment Plan,_x000D_
Payment Plan Duration:,	Deferred,_x000D_
Payment Plan Start Date:,	_x000D_
4. Payment Plan,1 Deferred payment of $</t>
  </si>
  <si>
    <t>Wed Oct 14 17:06:59 IST 2026</t>
  </si>
  <si>
    <t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Company Name:,	Vaddahun Corp,_x000D_
First Name:,	DULIP,_x000D_
Last Name:,	EKANAYAKE,_x000D_
Business Tax ID:,	999999999,_x000D_
Routing Number:,	****2691,_x000D_
Account Number:,	****8903,_x000D_
Billing Address:,	708 36TH AVE NW,,_x000D_
Hickory, New York NY, 28601,_x000D_
Country:,	UNITED STATES,_x000D_
Account Type:,	Business Checking,_x000D_
3. Payment Plan Information,_x000D_
Payment Plan Type:,	Recurring,_x000D_
Payment Plan Duration:,	Daily,_x000D_
Payment Plan Start Date:,	_x000D_
4. Payment Plan, Daily payments of $</t>
  </si>
  <si>
    <t>Wed Oct 14 17:11:32 IST 2026</t>
  </si>
  <si>
    <t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Company Name:,	Vaddahun Corp,_x000D_
First Name:,	DULIP,_x000D_
Last Name:,	EKANAYAKE,_x000D_
Business Tax ID:,	999999999,_x000D_
Routing Number:,	****2691,_x000D_
Account Number:,	****8903,_x000D_
Billing Address:,	708 36TH AVE NW,,_x000D_
Hickory, New York NY, 28601,_x000D_
Country:,	UNITED STATES,_x000D_
Account Type:,	Business Checking,_x000D_
3. Payment Plan Information,_x000D_
Payment Plan Type:,	Recurring,_x000D_
Payment Plan Duration:,	Deferred,_x000D_
Payment Plan Start Date:,	_x000D_
4. Payment Plan,1 Deferred payment of $</t>
  </si>
  <si>
    <t>Wed Oct 14 17:14:52 IST 2026</t>
  </si>
  <si>
    <t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Company Name:,	Vaddahun Corp,_x000D_
First Name:,	DULIP,_x000D_
Last Name:,	EKANAYAKE,_x000D_
Business Tax ID:,	999999999,_x000D_
Routing Number:,	****2691,_x000D_
Account Number:,	****8903,_x000D_
Billing Address:,	708 36TH AVE NW,,_x000D_
Hickory, New York NY, 28601,_x000D_
Country:,	UNITED STATES,_x000D_
Account Type:,Business Checking,_x000D_
3. Payment Plan Information,_x000D_
Payment Plan Type:,	Recurring,_x000D_
Payment Plan Duration:,	Monthly,_x000D_
Payment Plan Start Date:,	_x000D_
4. Payment Plan,Monthly payments of $</t>
  </si>
  <si>
    <t>Wed Oct 14 17:19:24 IST 2026</t>
  </si>
  <si>
    <t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First Name:,	DULIP,_x000D_
Last Name:,	EKANAYAKE,_x000D_
Routing Number:,	****2691,_x000D_
Account Number:,	****8904,_x000D_
Billing Address:,	708 36TH AVE NW,,_x000D_
Hickory, New York NY, 28601,_x000D_
Country:,	UNITED STATES,_x000D_
Account Type:,	Personal Checking,_x000D_
3. Payment Plan Information,_x000D_
Payment Plan Type:,	Installment Plan,_x000D_
Payment Plan Duration:,	Daily,_x000D_
Payment Plan Start Date:,	_x000D_
4. Payment Plan,1 Daily payment of $</t>
  </si>
  <si>
    <t>Wed Oct 14 17:23:51 IST 2026</t>
  </si>
  <si>
    <t>Wed Oct 14 17:27:21 IST 2026</t>
  </si>
  <si>
    <t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First Name:,	DULIP,_x000D_
Last Name:,	EKANAYAKE,_x000D_
Routing Number:,	****2691,_x000D_
Account Number:,	****8904,_x000D_
Billing Address:,	708 36TH AVE NW,,_x000D_
Hickory, New York NY, 28601,_x000D_
Country:,	UNITED STATES,_x000D_
Account Type:,	Personal Checking,_x000D_
3. Payment Plan Information,_x000D_
Payment Plan Type:,	Installment Plan,_x000D_
Payment Plan Duration:,	Deferred,_x000D_
Payment Plan Start Date:,	_x000D_
4. Payment Plan,1 Deferred payment of $</t>
  </si>
  <si>
    <t>Wed Oct 14 17:30:16 IST 2026</t>
  </si>
  <si>
    <t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First Name:,	DULIP,_x000D_
Last Name:,	EKANAYAKE,_x000D_
Routing Number:,	****2691,_x000D_
Account Number:,	****8904,_x000D_
Billing Address:,	708 36TH AVE NW,,_x000D_
Hickory, New York NY, 28601,_x000D_
Country:,	UNITED STATES,_x000D_
Account Type:,	Personal Checking,_x000D_
3. Payment Plan Information,_x000D_
Payment Plan Type:,	Recurring,_x000D_
Payment Plan Duration:,	Daily,_x000D_
Payment Plan Start Date:,	_x000D_
4. Payment Plan, Daily payments of $</t>
  </si>
  <si>
    <t>Wed Oct 14 17:32:58 IST 2026</t>
  </si>
  <si>
    <t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First Name:,	DULIP,_x000D_
Last Name:,	EKANAYAKE,_x000D_
Routing Number:,	****2691,_x000D_
Account Number:,	****8904,_x000D_
Billing Address:,	708 36TH AVE NW,,_x000D_
Hickory, New York NY, 28601,_x000D_
Country:,	UNITED STATES,_x000D_
Account Type:,	Personal Checking,_x000D_
3. Payment Plan Information,_x000D_
Payment Plan Type:,	Recurring,_x000D_
Payment Plan Duration:,	Deferred,_x000D_
Payment Plan Start Date:,	_x000D_
4. Payment Plan,1 Deferred payment of $</t>
  </si>
  <si>
    <t>Wed Oct 14 17:36:38 IST 2026</t>
  </si>
  <si>
    <t>Wed Oct 14 17:37:56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</si>
</sst>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1" applyBorder="1" applyAlignment="1">
      <alignment wrapText="1"/>
    </xf>
    <xf numFmtId="0" fontId="1" fillId="0" borderId="0" xfId="0" applyFont="1" applyAlignment="1">
      <alignment vertical="center"/>
    </xf>
    <xf numFmtId="49" fontId="0" fillId="0" borderId="2" xfId="0" applyNumberFormat="1" applyBorder="1" applyAlignment="1">
      <alignment wrapText="1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theme/theme1.xml" Type="http://schemas.openxmlformats.org/officeDocument/2006/relationships/theme"/><Relationship Id="rId27" Target="styles.xml" Type="http://schemas.openxmlformats.org/officeDocument/2006/relationships/styles"/><Relationship Id="rId28" Target="sharedStrings.xml" Type="http://schemas.openxmlformats.org/officeDocument/2006/relationships/sharedStrings"/><Relationship Id="rId29" Target="calcChain.xml" Type="http://schemas.openxmlformats.org/officeDocument/2006/relationships/calcChain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opLeftCell="B1" workbookViewId="0">
      <selection activeCell="O2" sqref="O2"/>
    </sheetView>
  </sheetViews>
  <sheetFormatPr defaultRowHeight="14.5" x14ac:dyDescent="0.35"/>
  <cols>
    <col min="7" max="7" customWidth="true" width="23.6328125" collapsed="true"/>
    <col min="11" max="11" customWidth="true" width="30.269531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55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18</v>
      </c>
      <c r="I2" t="s" s="0">
        <v>19</v>
      </c>
      <c r="J2" t="s" s="0">
        <v>20</v>
      </c>
      <c r="K2" s="6" t="s">
        <v>52</v>
      </c>
      <c r="L2" s="6" t="str">
        <f ca="1">TEXT(TODAY()+1,"mm/dd/yyyy")</f>
        <v>10/15/2026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Company Name:,	Vaddahun Corp,_x000D_
First Name:,	DULIP,_x000D_
Last Name:,	EKANAYAKE,_x000D_
Business Tax ID:,	999999999,_x000D_
Routing Number:,	****2691,_x000D_
Account Number:,	****8903,_x000D_
Billing Address:,	708 36TH AVE NW,,_x000D_
Hickory, New York NY, 28601,_x000D_
Country:,	UNITED STATES,_x000D_
Account Type:,	Business Checking,_x000D_
3. Payment Plan Information,_x000D_
Payment Plan Type:,	Installment Plan,_x000D_
Payment Plan Duration:,	Daily,_x000D_
Payment Plan Start Date:,	_x000D_
4. Payment Plan,1 Daily payment of $10.00 on 10/15/2026,A Convenience Fee will be added to each transaction issued for 1 Daily payment of 2.00 starting on 10/15/2026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10/15/2026 ,Individual Convenience Fee Amount:,	
Total Convenience Fees Paid:,	
Total Paid under this plan: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68B6-189E-4673-8A1F-0ED1617BC5B6}">
  <dimension ref="A1:P2"/>
  <sheetViews>
    <sheetView workbookViewId="0">
      <selection activeCell="J2" sqref="J2"/>
    </sheetView>
  </sheetViews>
  <sheetFormatPr defaultRowHeight="14.5" x14ac:dyDescent="0.35"/>
  <cols>
    <col min="11" max="11" customWidth="true" width="21.90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43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21</v>
      </c>
      <c r="I2" t="s" s="0">
        <v>19</v>
      </c>
      <c r="J2" t="s" s="0">
        <v>20</v>
      </c>
      <c r="K2" s="6" t="s">
        <v>31</v>
      </c>
      <c r="L2" s="6" t="str">
        <f ca="1">TEXT(TODAY()+1,"mm/dd/yyyy")</f>
        <v>10/15/2026</v>
      </c>
      <c r="M2" s="7">
        <v>10</v>
      </c>
      <c r="N2" s="8">
        <v>2</v>
      </c>
      <c r="O2" s="9"/>
      <c r="P2" s="10" t="str">
        <f>"Individual Convenience Fee Amount:,	
Total Convenience Fees Paid:,	
Total Paid under this plan:"</f>
        <v>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E8BE-D33F-4968-8266-BE3EF6209F01}">
  <dimension ref="A1:P2"/>
  <sheetViews>
    <sheetView topLeftCell="C1" workbookViewId="0">
      <selection activeCell="I2" sqref="I2"/>
    </sheetView>
  </sheetViews>
  <sheetFormatPr defaultRowHeight="14.5" x14ac:dyDescent="0.35"/>
  <cols>
    <col min="7" max="7" bestFit="true" customWidth="true" width="13.90625" collapsed="true"/>
    <col min="8" max="8" bestFit="true" customWidth="true" width="16.7265625" collapsed="true"/>
    <col min="9" max="9" bestFit="true" customWidth="true" width="20.453125" collapsed="true"/>
    <col min="11" max="11" customWidth="true" width="22.63281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44</v>
      </c>
      <c r="C2" s="4"/>
      <c r="D2" s="5" t="s">
        <v>15</v>
      </c>
      <c r="E2" s="5" t="s">
        <v>16</v>
      </c>
      <c r="F2" s="5" t="s">
        <v>17</v>
      </c>
      <c r="G2" t="str" s="0">
        <f>"Carlos"</f>
        <v>Carlos</v>
      </c>
      <c r="H2" t="s" s="0">
        <v>21</v>
      </c>
      <c r="I2" t="s" s="0">
        <v>19</v>
      </c>
      <c r="J2" t="s" s="0">
        <v>20</v>
      </c>
      <c r="K2" s="6" t="s">
        <v>32</v>
      </c>
      <c r="L2" s="6" t="str">
        <f ca="1">TEXT(TODAY()+1,"mm/dd/yyyy")</f>
        <v>10/15/2026</v>
      </c>
      <c r="M2" s="7">
        <v>10</v>
      </c>
      <c r="N2" s="8">
        <v>2</v>
      </c>
      <c r="O2" s="9"/>
      <c r="P2" s="10" t="str">
        <f>"Individual Convenience Fee Amount:,	
Total Convenience Fees Paid:,	
Total Paid under this plan:"</f>
        <v>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AF58-F67E-4B6A-98CB-1AEB684984F2}">
  <dimension ref="A1:P2"/>
  <sheetViews>
    <sheetView workbookViewId="0">
      <selection activeCell="J2" sqref="J2"/>
    </sheetView>
  </sheetViews>
  <sheetFormatPr defaultRowHeight="14.5" x14ac:dyDescent="0.35"/>
  <cols>
    <col min="11" max="11" customWidth="true" width="19.63281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45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21</v>
      </c>
      <c r="I2" t="s" s="0">
        <v>19</v>
      </c>
      <c r="J2" t="s" s="0">
        <v>20</v>
      </c>
      <c r="K2" s="6" t="s">
        <v>33</v>
      </c>
      <c r="L2" s="6" t="str">
        <f ca="1">TEXT(TODAY()+1,"mm/dd/yyyy")</f>
        <v>10/15/2026</v>
      </c>
      <c r="M2" s="7">
        <v>10</v>
      </c>
      <c r="N2" s="8">
        <v>2</v>
      </c>
      <c r="O2" s="9"/>
      <c r="P2" s="10" t="str">
        <f>"Individual Convenience Fee Amount:,	
Total Convenience Fees Paid:,	
Total Paid under this plan:"</f>
        <v>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453A-566F-4243-8B47-2F88A434AC05}">
  <dimension ref="A1:P2"/>
  <sheetViews>
    <sheetView workbookViewId="0">
      <selection activeCell="K2" sqref="K2"/>
    </sheetView>
  </sheetViews>
  <sheetFormatPr defaultRowHeight="14.5" x14ac:dyDescent="0.35"/>
  <cols>
    <col min="11" max="11" customWidth="true" width="30.5429687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38</v>
      </c>
      <c r="C2" s="4"/>
      <c r="D2" s="5" t="s">
        <v>15</v>
      </c>
      <c r="E2" s="5" t="s">
        <v>16</v>
      </c>
      <c r="F2" s="5" t="s">
        <v>17</v>
      </c>
      <c r="G2" t="str" s="0">
        <f>"Bridges"</f>
        <v>Bridges</v>
      </c>
      <c r="H2" t="s" s="0">
        <v>21</v>
      </c>
      <c r="I2" t="s" s="0">
        <v>19</v>
      </c>
      <c r="J2" t="s" s="0">
        <v>20</v>
      </c>
      <c r="K2" s="6" t="s">
        <v>26</v>
      </c>
      <c r="L2" s="6" t="str">
        <f ca="1">TEXT(TODAY()+1,"mm/dd/yyyy")</f>
        <v>10/15/2026</v>
      </c>
      <c r="M2" s="7">
        <v>10</v>
      </c>
      <c r="N2" s="8">
        <v>2</v>
      </c>
      <c r="O2" s="9"/>
      <c r="P2" s="10" t="str">
        <f>"Individual Convenience Fee Amount:,	
Total Convenience Fees Paid:,	
Total Paid under this plan:"</f>
        <v>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27C4-0639-4F31-B018-C711C491A530}">
  <dimension ref="A1:P2"/>
  <sheetViews>
    <sheetView workbookViewId="0">
      <selection activeCell="J2" sqref="J2"/>
    </sheetView>
  </sheetViews>
  <sheetFormatPr defaultRowHeight="14.5" x14ac:dyDescent="0.35"/>
  <cols>
    <col min="11" max="11" customWidth="true" width="17.90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50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22</v>
      </c>
      <c r="I2" t="s" s="0">
        <v>23</v>
      </c>
      <c r="J2" t="s" s="0">
        <v>20</v>
      </c>
      <c r="K2" s="6" t="s">
        <v>37</v>
      </c>
      <c r="L2" s="6" t="str">
        <f ca="1">TEXT(TODAY()+1,"mm/dd/yyyy")</f>
        <v>10/15/2026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Country:,	UNITED STATES,
Account Type:,	Personal Savings,
3. Payment Plan Information,
Payment Plan Type:,	Recurring,
Payment Plan Duration:,	Deferred,
Payment Plan Start Date:,	
4. Payment Plan,1 Deferred payment of $10.00 on 10/15/2026,A Convenience Fee will be added to each transaction issued for 1 Deferred payment of 2.00 starting on 10/15/2026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10/15/2026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CC01-8D91-4DD2-9F92-02AFB7FF39EF}">
  <dimension ref="A1:P2"/>
  <sheetViews>
    <sheetView tabSelected="1" workbookViewId="0">
      <selection activeCell="N2" sqref="N2"/>
    </sheetView>
  </sheetViews>
  <sheetFormatPr defaultRowHeight="14.5" x14ac:dyDescent="0.35"/>
  <cols>
    <col min="11" max="11" customWidth="true" width="23.81640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73</v>
      </c>
      <c r="C2" s="4"/>
      <c r="D2" s="5" t="s">
        <v>15</v>
      </c>
      <c r="E2" s="5" t="s">
        <v>16</v>
      </c>
      <c r="F2" s="5" t="s">
        <v>17</v>
      </c>
      <c r="G2" t="str" s="0">
        <f>"Carlos"</f>
        <v>Carlos</v>
      </c>
      <c r="H2" t="s" s="0">
        <v>22</v>
      </c>
      <c r="I2" t="s" s="0">
        <v>23</v>
      </c>
      <c r="J2" t="s" s="0">
        <v>20</v>
      </c>
      <c r="K2" s="6" t="s">
        <v>71</v>
      </c>
      <c r="L2" s="6" t="str">
        <f ca="1">TEXT(TODAY()+1,"mm/dd/yyyy")</f>
        <v>10/15/2026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First Name:,	DULIP,_x000D_
Last Name:,	EKANAYAKE,_x000D_
Routing Number:,	****2691,_x000D_
Account Number:,	****8904,_x000D_
Billing Address:,	708 36TH AVE NW,,_x000D_
Hickory, New York NY, 28601,_x000D_
Country:,	UNITED STATES,_x000D_
Account Type:,	Personal Checking,_x000D_
3. Payment Plan Information,_x000D_
Payment Plan Type:,	Recurring,_x000D_
Payment Plan Duration:,	Deferred,_x000D_
Payment Plan Start Date:,	_x000D_
4. Payment Plan,1 Deferred payment of $10.00 on 10/15/2026,A Convenience Fee will be added to each transaction issued for 1 Deferred payment of 2.00 starting on 10/15/2026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10/15/2026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5A6F-3592-43D9-BD24-8AE9729D36B7}">
  <dimension ref="A1:P2"/>
  <sheetViews>
    <sheetView workbookViewId="0">
      <selection activeCell="O2" sqref="O2"/>
    </sheetView>
  </sheetViews>
  <sheetFormatPr defaultRowHeight="14.5" x14ac:dyDescent="0.35"/>
  <cols>
    <col min="11" max="11" customWidth="true" width="21.81640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61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22</v>
      </c>
      <c r="I2" t="s" s="0">
        <v>23</v>
      </c>
      <c r="J2" t="s" s="0">
        <v>20</v>
      </c>
      <c r="K2" s="6" t="s">
        <v>60</v>
      </c>
      <c r="L2" s="6" t="str">
        <f ca="1">TEXT(TODAY()+1,"mm/dd/yyyy")</f>
        <v>10/15/2026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Company Name:,	Vaddahun Corp,_x000D_
First Name:,	DULIP,_x000D_
Last Name:,	EKANAYAKE,_x000D_
Business Tax ID:,	999999999,_x000D_
Routing Number:,	****2691,_x000D_
Account Number:,	****8903,_x000D_
Billing Address:,	708 36TH AVE NW,,_x000D_
Hickory, New York NY, 28601,_x000D_
Country:,	UNITED STATES,_x000D_
Account Type:,	Business Checking,_x000D_
3. Payment Plan Information,_x000D_
Payment Plan Type:,	Recurring,_x000D_
Payment Plan Duration:,	Deferred,_x000D_
Payment Plan Start Date:,	_x000D_
4. Payment Plan,1 Deferred payment of $10.00 on 10/15/2026,A Convenience Fee will be added to each transaction issued for 1 Deferred payment of 2.00 starting on 10/15/2026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10/15/2026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2B77E-010E-4115-88A3-B1B1A5BAFCF1}">
  <dimension ref="A1:P2"/>
  <sheetViews>
    <sheetView workbookViewId="0">
      <selection activeCell="I2" sqref="I2"/>
    </sheetView>
  </sheetViews>
  <sheetFormatPr defaultRowHeight="14.5" x14ac:dyDescent="0.35"/>
  <cols>
    <col min="11" max="11" customWidth="true" width="28.5429687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42</v>
      </c>
      <c r="C2" s="4"/>
      <c r="D2" s="5" t="s">
        <v>15</v>
      </c>
      <c r="E2" s="5" t="s">
        <v>16</v>
      </c>
      <c r="F2" s="5" t="s">
        <v>17</v>
      </c>
      <c r="G2" t="str" s="0">
        <f>"Bridges"</f>
        <v>Bridges</v>
      </c>
      <c r="H2" t="s" s="0">
        <v>22</v>
      </c>
      <c r="I2" t="s" s="0">
        <v>23</v>
      </c>
      <c r="J2" t="s" s="0">
        <v>20</v>
      </c>
      <c r="K2" s="6" t="s">
        <v>30</v>
      </c>
      <c r="L2" s="6" t="str">
        <f ca="1">TEXT(TODAY()+1,"mm/dd/yyyy")</f>
        <v>10/15/2026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Name Appearing on Card:,	DULIP EKANAYAKE,
Card Type:,Visa,
Card Number:,47****0011,
Expiration Date:,12/2028
Billing Address:,	708 36TH AVE NW,
Hickory,  New York ,  28601,
Country:,	UNITED STATES,
3. Payment Plan Information,
Payment Plan Type:,	Recurring,
Payment Plan Duration:,	Deferred,
Payment Plan Start Date:,	
4. Payment Plan,1 Deferred payment of $10.00 on 10/15/2026,A Convenience Fee will be added to each transaction issued for 1 Deferred payment of 2.00 starting on 10/15/2026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10/15/2026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A2A1-86A0-48D6-8551-F95C124FFD93}">
  <dimension ref="A1:P2"/>
  <sheetViews>
    <sheetView workbookViewId="0">
      <selection activeCell="J2" sqref="J2"/>
    </sheetView>
  </sheetViews>
  <sheetFormatPr defaultRowHeight="14.5" x14ac:dyDescent="0.35"/>
  <cols>
    <col min="11" max="11" customWidth="true" width="26.0898437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49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22</v>
      </c>
      <c r="I2" t="s" s="0">
        <v>19</v>
      </c>
      <c r="J2" t="s" s="0">
        <v>20</v>
      </c>
      <c r="K2" s="6" t="s">
        <v>36</v>
      </c>
      <c r="L2" s="6" t="str">
        <f ca="1">TEXT(TODAY()+1,"mm/dd/yyyy")</f>
        <v>10/15/2026</v>
      </c>
      <c r="M2" s="7">
        <v>10</v>
      </c>
      <c r="N2" s="8">
        <v>2</v>
      </c>
      <c r="O2" s="9" t="str">
        <f ca="1">K2&amp;TEXT(M2,"0.00")&amp;" starting on "&amp;L2&amp;","&amp;P2</f>
        <v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Account Type:,	Personal Savings,
3. Payment Plan Information,
Payment Plan Type:,	Recurring,
Payment Plan Duration:,	Daily,
Payment Plan Start Date:,	
4. Payment Plan, Daily payments of $10.00 starting on 10/15/2026,A Convenience Fee will be added to each transaction issued for Daily payment of 2.00 starting on 10/15/2026 ,Individual Convenience Fee Amount:,	
Total Convenience Fees Paid:,	
Total Paid under this plan:</v>
      </c>
      <c r="P2" s="10" t="str">
        <f ca="1">"A Convenience Fee will be added to each transaction issued for Daily payment of "&amp;  TEXT(N2,"0.00")&amp;" starting on "&amp;L2&amp;" ,Individual Convenience Fee Amount:,	
Total Convenience Fees Paid:,	
Total Paid under this plan:"</f>
        <v>A Convenience Fee will be added to each transaction issued for Daily payment of 2.00 starting on 10/15/2026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33DF-E1A4-40DF-9EB9-E0927AF8848C}">
  <dimension ref="A1:P2"/>
  <sheetViews>
    <sheetView workbookViewId="0">
      <selection activeCell="N2" sqref="N2"/>
    </sheetView>
  </sheetViews>
  <sheetFormatPr defaultRowHeight="14.5" x14ac:dyDescent="0.35"/>
  <cols>
    <col min="11" max="11" customWidth="true" width="25.7265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70</v>
      </c>
      <c r="C2" s="4"/>
      <c r="D2" s="5" t="s">
        <v>15</v>
      </c>
      <c r="E2" s="5" t="s">
        <v>16</v>
      </c>
      <c r="F2" s="5" t="s">
        <v>17</v>
      </c>
      <c r="G2" t="str" s="0">
        <f>"Carlos"</f>
        <v>Carlos</v>
      </c>
      <c r="H2" t="s" s="0">
        <v>22</v>
      </c>
      <c r="I2" t="s" s="0">
        <v>19</v>
      </c>
      <c r="J2" t="s" s="0">
        <v>20</v>
      </c>
      <c r="K2" s="6" t="s">
        <v>69</v>
      </c>
      <c r="L2" s="6" t="str">
        <f ca="1">TEXT(TODAY()+1,"mm/dd/yyyy")</f>
        <v>10/15/2026</v>
      </c>
      <c r="M2" s="7">
        <v>10</v>
      </c>
      <c r="N2" s="8">
        <v>2</v>
      </c>
      <c r="O2" s="9" t="str">
        <f ca="1">K2&amp;TEXT(M2,"0.00")&amp;" starting on "&amp;L2&amp;","&amp;P2</f>
        <v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First Name:,	DULIP,_x000D_
Last Name:,	EKANAYAKE,_x000D_
Routing Number:,	****2691,_x000D_
Account Number:,	****8904,_x000D_
Billing Address:,	708 36TH AVE NW,,_x000D_
Hickory, New York NY, 28601,_x000D_
Country:,	UNITED STATES,_x000D_
Account Type:,	Personal Checking,_x000D_
3. Payment Plan Information,_x000D_
Payment Plan Type:,	Recurring,_x000D_
Payment Plan Duration:,	Daily,_x000D_
Payment Plan Start Date:,	_x000D_
4. Payment Plan, Daily payments of $10.00 starting on 10/15/2026,A Convenience Fee will be added to each transaction issued for Daily payment of 2.00 starting on 10/15/2026 ,Individual Convenience Fee Amount:,	
Total Convenience Fees Paid:,	
Total Paid under this plan:</v>
      </c>
      <c r="P2" s="10" t="str">
        <f ca="1">"A Convenience Fee will be added to each transaction issued for Daily payment of "&amp;  TEXT(N2,"0.00")&amp;" starting on "&amp;L2&amp;" ,Individual Convenience Fee Amount:,	
Total Convenience Fees Paid:,	
Total Paid under this plan:"</f>
        <v>A Convenience Fee will be added to each transaction issued for Daily payment of 2.00 starting on 10/15/2026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3466-8780-4BE7-977B-AE4E7A3ED92C}">
  <dimension ref="A1:P2"/>
  <sheetViews>
    <sheetView topLeftCell="A2" workbookViewId="0">
      <selection activeCell="O2" sqref="O2"/>
    </sheetView>
  </sheetViews>
  <sheetFormatPr defaultRowHeight="14.5" x14ac:dyDescent="0.35"/>
  <cols>
    <col min="11" max="11" customWidth="true" width="30.7265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59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22</v>
      </c>
      <c r="I2" t="s" s="0">
        <v>19</v>
      </c>
      <c r="J2" t="s" s="0">
        <v>20</v>
      </c>
      <c r="K2" s="6" t="s">
        <v>58</v>
      </c>
      <c r="L2" s="6" t="str">
        <f ca="1">TEXT(TODAY()+1,"mm/dd/yyyy")</f>
        <v>10/15/2026</v>
      </c>
      <c r="M2" s="7">
        <v>10</v>
      </c>
      <c r="N2" s="8">
        <v>2</v>
      </c>
      <c r="O2" s="9" t="str">
        <f ca="1">K2&amp;TEXT(M2,"0.00")&amp;" starting on "&amp;L2&amp;","&amp;P2</f>
        <v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Company Name:,	Vaddahun Corp,_x000D_
First Name:,	DULIP,_x000D_
Last Name:,	EKANAYAKE,_x000D_
Business Tax ID:,	999999999,_x000D_
Routing Number:,	****2691,_x000D_
Account Number:,	****8903,_x000D_
Billing Address:,	708 36TH AVE NW,,_x000D_
Hickory, New York NY, 28601,_x000D_
Country:,	UNITED STATES,_x000D_
Account Type:,	Business Checking,_x000D_
3. Payment Plan Information,_x000D_
Payment Plan Type:,	Recurring,_x000D_
Payment Plan Duration:,	Daily,_x000D_
Payment Plan Start Date:,	_x000D_
4. Payment Plan, Daily payments of $10.00 starting on 10/15/2026,A Convenience Fee will be added to each transaction issued for Daily payment of 2.00 starting on 10/15/2026 ,Individual Convenience Fee Amount:,	
Total Convenience Fees Paid:,	
Total Paid under this plan:</v>
      </c>
      <c r="P2" s="10" t="str">
        <f ca="1">"A Convenience Fee will be added to each transaction issued for Daily payment of "&amp;  TEXT(N2,"0.00")&amp;" starting on "&amp;L2&amp;" ,Individual Convenience Fee Amount:,	
Total Convenience Fees Paid:,	
Total Paid under this plan:"</f>
        <v>A Convenience Fee will be added to each transaction issued for Daily payment of 2.00 starting on 10/15/2026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BB029-1171-41FA-A648-8FA4436E795E}">
  <dimension ref="A1:P2"/>
  <sheetViews>
    <sheetView workbookViewId="0">
      <selection activeCell="J2" sqref="J2"/>
    </sheetView>
  </sheetViews>
  <sheetFormatPr defaultRowHeight="14.5" x14ac:dyDescent="0.35"/>
  <cols>
    <col min="11" max="11" customWidth="true" width="34.7265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41</v>
      </c>
      <c r="C2" s="4"/>
      <c r="D2" s="5" t="s">
        <v>15</v>
      </c>
      <c r="E2" s="5" t="s">
        <v>16</v>
      </c>
      <c r="F2" s="5" t="s">
        <v>17</v>
      </c>
      <c r="G2" t="str" s="0">
        <f>"Bridges"</f>
        <v>Bridges</v>
      </c>
      <c r="H2" t="s" s="0">
        <v>22</v>
      </c>
      <c r="I2" t="s" s="0">
        <v>19</v>
      </c>
      <c r="J2" t="s" s="0">
        <v>20</v>
      </c>
      <c r="K2" s="6" t="s">
        <v>29</v>
      </c>
      <c r="L2" s="6" t="str">
        <f ca="1">TEXT(TODAY()+1,"mm/dd/yyyy")</f>
        <v>10/15/2026</v>
      </c>
      <c r="M2" s="7">
        <v>10</v>
      </c>
      <c r="N2" s="8">
        <v>2</v>
      </c>
      <c r="O2" s="9" t="str">
        <f ca="1">K2&amp;TEXT(M2,"0.00")&amp;" starting on "&amp;L2&amp;","&amp;P2</f>
        <v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Name Appearing on Card:,	DULIP EKANAYAKE,
Card Type:,Visa,
Card Number:,47****0011,
Expiration Date:,12/2028
Billing Address:,	708 36TH AVE NW,
Hickory,  New York ,  28601,
Country:,	UNITED STATES,
3. Payment Plan Information,
Payment Plan Type:,	Recurring,
Payment Plan Duration:,	Daily,
Payment Plan Start Date:,	
4. Payment Plan, Daily payments of $10.00 starting on 10/15/2026,A Convenience Fee will be added to each transaction issued for Daily payment of 2.00 starting on 10/15/2026 ,Individual Convenience Fee Amount:,	
Total Convenience Fees Paid:,	
Total Paid under this plan:</v>
      </c>
      <c r="P2" s="10" t="str">
        <f ca="1">"A Convenience Fee will be added to each transaction issued for Daily payment of "&amp;  TEXT(N2,"0.00")&amp;" starting on "&amp;L2&amp;" ,Individual Convenience Fee Amount:,	
Total Convenience Fees Paid:,	
Total Paid under this plan:"</f>
        <v>A Convenience Fee will be added to each transaction issued for Daily payment of 2.00 starting on 10/15/2026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98C4-EADB-4F49-BACE-22D2E17BA962}">
  <dimension ref="A1:P2"/>
  <sheetViews>
    <sheetView workbookViewId="0">
      <selection activeCell="I2" sqref="I2"/>
    </sheetView>
  </sheetViews>
  <sheetFormatPr defaultRowHeight="14.5" x14ac:dyDescent="0.35"/>
  <cols>
    <col min="11" max="11" customWidth="true" width="24.7265625" collapsed="true"/>
    <col min="15" max="15" customWidth="true" width="15.7265625" collapsed="true"/>
    <col min="16" max="16" customWidth="true" width="17.1796875" collapsed="true"/>
  </cols>
  <sheetData>
    <row r="1" spans="1:1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48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18</v>
      </c>
      <c r="I2" t="s" s="0">
        <v>23</v>
      </c>
      <c r="J2" t="s" s="0">
        <v>20</v>
      </c>
      <c r="K2" s="6" t="s">
        <v>35</v>
      </c>
      <c r="L2" s="6" t="str">
        <f ca="1">TEXT(TODAY()+1,"mm/dd/yyyy")</f>
        <v>10/15/2026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Country:,	UNITED STATES,
Account Type:,	Personal Savings,
3. Payment Plan Information,
Payment Plan Type:,	Installment Plan,
Payment Plan Duration:,	Deferred,
Payment Plan Start Date:,	
4. Payment Plan,1 Deferred payment of $10.00 on 10/15/2026,A Convenience Fee will be added to each transaction issued for 1 Deferred payment of 2.00 starting on 10/15/2026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10/15/2026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2D8C-277B-4875-8E77-2139760B0ECA}">
  <dimension ref="A1:P2"/>
  <sheetViews>
    <sheetView topLeftCell="A2" workbookViewId="0">
      <selection activeCell="N2" sqref="N2"/>
    </sheetView>
  </sheetViews>
  <sheetFormatPr defaultRowHeight="14.5" x14ac:dyDescent="0.35"/>
  <cols>
    <col min="11" max="11" customWidth="true" width="24.269531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68</v>
      </c>
      <c r="C2" s="4"/>
      <c r="D2" s="5" t="s">
        <v>15</v>
      </c>
      <c r="E2" s="5" t="s">
        <v>16</v>
      </c>
      <c r="F2" s="5" t="s">
        <v>17</v>
      </c>
      <c r="G2" t="str" s="0">
        <f>"Carlos"</f>
        <v>Carlos</v>
      </c>
      <c r="H2" t="s" s="0">
        <v>18</v>
      </c>
      <c r="I2" t="s" s="0">
        <v>23</v>
      </c>
      <c r="J2" t="s" s="0">
        <v>20</v>
      </c>
      <c r="K2" s="6" t="s">
        <v>67</v>
      </c>
      <c r="L2" s="6" t="str">
        <f ca="1">TEXT(TODAY()+1,"mm/dd/yyyy")</f>
        <v>10/15/2026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First Name:,	DULIP,_x000D_
Last Name:,	EKANAYAKE,_x000D_
Routing Number:,	****2691,_x000D_
Account Number:,	****8904,_x000D_
Billing Address:,	708 36TH AVE NW,,_x000D_
Hickory, New York NY, 28601,_x000D_
Country:,	UNITED STATES,_x000D_
Account Type:,	Personal Checking,_x000D_
3. Payment Plan Information,_x000D_
Payment Plan Type:,	Installment Plan,_x000D_
Payment Plan Duration:,	Deferred,_x000D_
Payment Plan Start Date:,	_x000D_
4. Payment Plan,1 Deferred payment of $10.00 on 10/15/2026,A Convenience Fee will be added to each transaction issued for 1 Deferred payment of 2.00 starting on 10/15/2026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10/15/2026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6F33-051D-49DA-A956-296219E0BF32}">
  <dimension ref="A1:P2"/>
  <sheetViews>
    <sheetView workbookViewId="0">
      <selection activeCell="J2" sqref="J2"/>
    </sheetView>
  </sheetViews>
  <sheetFormatPr defaultRowHeight="14.5" x14ac:dyDescent="0.35"/>
  <cols>
    <col min="11" max="11" customWidth="true" width="23.7265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40</v>
      </c>
      <c r="C2" s="4"/>
      <c r="D2" s="5" t="s">
        <v>15</v>
      </c>
      <c r="E2" s="5" t="s">
        <v>16</v>
      </c>
      <c r="F2" s="5" t="s">
        <v>17</v>
      </c>
      <c r="G2" t="str" s="0">
        <f>"Bridges"</f>
        <v>Bridges</v>
      </c>
      <c r="H2" t="s" s="0">
        <v>18</v>
      </c>
      <c r="I2" t="s" s="0">
        <v>23</v>
      </c>
      <c r="J2" t="s" s="0">
        <v>20</v>
      </c>
      <c r="K2" s="6" t="s">
        <v>28</v>
      </c>
      <c r="L2" s="6" t="str">
        <f ca="1">TEXT(TODAY()+1,"mm/dd/yyyy")</f>
        <v>10/15/2026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Name Appearing on Card:,	DULIP EKANAYAKE,
Card Type:,Visa,
Card Number:,47****0011,
Expiration Date:,12/2028
Billing Address:,	708 36TH AVE NW,
Hickory,  New York ,  28601,
Country:,	UNITED STATES,
3. Payment Plan Information,
Payment Plan Type:,	Installment Plan,
Payment Plan Duration:,	Deferred,
Payment Plan Start Date:,	
4. Payment Plan,1 Deferred payment of $10.00 on 10/15/2026,A Convenience Fee will be added to each transaction issued for 1 Deferred payment of 2.00 starting on 10/15/2026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10/15/2026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6A84-4AB3-491D-9D66-F6130A959AD3}">
  <dimension ref="A1:P2"/>
  <sheetViews>
    <sheetView workbookViewId="0">
      <selection activeCell="O2" sqref="O2"/>
    </sheetView>
  </sheetViews>
  <sheetFormatPr defaultRowHeight="14.5" x14ac:dyDescent="0.35"/>
  <cols>
    <col min="11" max="11" customWidth="true" width="25.81640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57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18</v>
      </c>
      <c r="I2" t="s" s="0">
        <v>23</v>
      </c>
      <c r="J2" t="s" s="0">
        <v>20</v>
      </c>
      <c r="K2" s="6" t="s">
        <v>56</v>
      </c>
      <c r="L2" s="6" t="str">
        <f ca="1">TEXT(TODAY()+1,"mm/dd/yyyy")</f>
        <v>10/15/2026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Company Name:,	Vaddahun Corp,_x000D_
First Name:,	DULIP,_x000D_
Last Name:,	EKANAYAKE,_x000D_
Business Tax ID:,	999999999,_x000D_
Routing Number:,	****2691,_x000D_
Account Number:,	****8903,_x000D_
Billing Address:,	708 36TH AVE NW,,_x000D_
Hickory, New York NY, 28601,_x000D_
Country:,	UNITED STATES,_x000D_
Account Type:,	Business Checking,_x000D_
3. Payment Plan Information,_x000D_
Payment Plan Type:,	Installment Plan,_x000D_
Payment Plan Duration:,	Deferred,_x000D_
Payment Plan Start Date:,	_x000D_
4. Payment Plan,1 Deferred payment of $10.00 on 10/15/2026,A Convenience Fee will be added to each transaction issued for 1 Deferred payment of 2.00 starting on 10/15/2026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2.00 starting on 10/15/2026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609E-8671-42DF-A52E-E0D9BD0CD203}">
  <dimension ref="A1:P2"/>
  <sheetViews>
    <sheetView workbookViewId="0">
      <selection activeCell="J2" sqref="J2"/>
    </sheetView>
  </sheetViews>
  <sheetFormatPr defaultRowHeight="14.5" x14ac:dyDescent="0.35"/>
  <cols>
    <col min="11" max="11" customWidth="true" width="24.0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46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18</v>
      </c>
      <c r="I2" t="s" s="0">
        <v>19</v>
      </c>
      <c r="J2" t="s" s="0">
        <v>24</v>
      </c>
      <c r="K2" s="6" t="s">
        <v>34</v>
      </c>
      <c r="L2" s="6" t="str">
        <f ca="1">TEXT(TODAY()+1,"mm/dd/yyyy")</f>
        <v>10/15/2026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Country:,	UNITED STATES,
Account Type:,	Personal Savings,
3. Payment Plan Information,
Payment Plan Type:,	Installment Plan,
Payment Plan Duration:,	Daily,
Payment Plan Start Date:,	
4. Payment Plan,1 Daily payment of $10.00 on 10/15/2026,A Convenience Fee will be added to each transaction issued for 1 Daily payment of 2.00 starting on 10/15/2026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10/15/2026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00924-F2FB-45A8-BED7-C929CC9ED1B0}">
  <dimension ref="A1:P2"/>
  <sheetViews>
    <sheetView topLeftCell="A2" workbookViewId="0">
      <selection activeCell="N2" sqref="N2"/>
    </sheetView>
  </sheetViews>
  <sheetFormatPr defaultRowHeight="14.5" x14ac:dyDescent="0.35"/>
  <cols>
    <col min="11" max="11" customWidth="true" width="23.0898437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65</v>
      </c>
      <c r="C2" s="4"/>
      <c r="D2" s="5" t="s">
        <v>15</v>
      </c>
      <c r="E2" s="5" t="s">
        <v>16</v>
      </c>
      <c r="F2" s="5" t="s">
        <v>17</v>
      </c>
      <c r="G2" t="str" s="0">
        <f>"Carlos"</f>
        <v>Carlos</v>
      </c>
      <c r="H2" t="s" s="0">
        <v>18</v>
      </c>
      <c r="I2" t="s" s="0">
        <v>19</v>
      </c>
      <c r="J2" t="s" s="0">
        <v>24</v>
      </c>
      <c r="K2" s="6" t="s">
        <v>64</v>
      </c>
      <c r="L2" s="6" t="str">
        <f ca="1">TEXT(TODAY()+1,"mm/dd/yyyy")</f>
        <v>10/15/2026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First Name:,	DULIP,_x000D_
Last Name:,	EKANAYAKE,_x000D_
Routing Number:,	****2691,_x000D_
Account Number:,	****8904,_x000D_
Billing Address:,	708 36TH AVE NW,,_x000D_
Hickory, New York NY, 28601,_x000D_
Country:,	UNITED STATES,_x000D_
Account Type:,	Personal Checking,_x000D_
3. Payment Plan Information,_x000D_
Payment Plan Type:,	Installment Plan,_x000D_
Payment Plan Duration:,	Daily,_x000D_
Payment Plan Start Date:,	_x000D_
4. Payment Plan,1 Daily payment of $10.00 on 10/15/2026,A Convenience Fee will be added to each transaction issued for 1 Daily payment of 2.00 starting on 10/15/2026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10/15/2026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2DF2-9DD6-4023-94DD-D03DA9278EDA}">
  <dimension ref="A1:P2"/>
  <sheetViews>
    <sheetView workbookViewId="0">
      <selection activeCell="I2" sqref="I2"/>
    </sheetView>
  </sheetViews>
  <sheetFormatPr defaultRowHeight="14.5" x14ac:dyDescent="0.35"/>
  <cols>
    <col min="11" max="11" customWidth="true" width="21.81640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51</v>
      </c>
      <c r="C2" s="4"/>
      <c r="D2" s="5" t="s">
        <v>15</v>
      </c>
      <c r="E2" s="5" t="s">
        <v>16</v>
      </c>
      <c r="F2" s="5" t="s">
        <v>17</v>
      </c>
      <c r="G2" t="str" s="0">
        <f>"Bridges"</f>
        <v>Bridges</v>
      </c>
      <c r="H2" t="s" s="0">
        <v>18</v>
      </c>
      <c r="I2" t="s" s="0">
        <v>19</v>
      </c>
      <c r="J2" t="s" s="0">
        <v>24</v>
      </c>
      <c r="K2" s="6" t="s">
        <v>27</v>
      </c>
      <c r="L2" s="6" t="str">
        <f ca="1">TEXT(TODAY()+1,"mm/dd/yyyy")</f>
        <v>10/15/2026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Name Appearing on Card:,	DULIP EKANAYAKE,
Card Type:,Visa,
Card Number:,47****0011,
Expiration Date:,12/2028
Billing Address:,	708 36TH AVE NW,
Hickory,  New York ,  28601,
Country:,	UNITED STATES,
3. Payment Plan Information,
Payment Plan Type:,	Installment Plan,
Payment Plan Duration:,	Daily,
Payment Plan Start Date:,	
4. Payment Plan,1 Daily payment of $10.00 on 10/15/2026,A Convenience Fee will be added to each transaction issued for 1 Daily payment of 2.00 starting on 10/15/2026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10/15/2026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E1098-DCCB-4F87-87C7-D2AB1CA20D07}">
  <dimension ref="A1:P2"/>
  <sheetViews>
    <sheetView topLeftCell="A2" workbookViewId="0">
      <selection activeCell="O2" sqref="O2"/>
    </sheetView>
  </sheetViews>
  <sheetFormatPr defaultRowHeight="14.5" x14ac:dyDescent="0.35"/>
  <cols>
    <col min="11" max="11" customWidth="true" width="27.6328125" collapsed="true"/>
    <col min="15" max="15" customWidth="true" width="12.6328125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54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18</v>
      </c>
      <c r="I2" t="s" s="0">
        <v>19</v>
      </c>
      <c r="J2" t="s" s="0">
        <v>24</v>
      </c>
      <c r="K2" s="6" t="s">
        <v>52</v>
      </c>
      <c r="L2" s="6" t="str">
        <f ca="1">TEXT(TODAY()+1,"mm/dd/yyyy")</f>
        <v>10/15/2026</v>
      </c>
      <c r="M2" s="7">
        <v>10</v>
      </c>
      <c r="N2" s="8">
        <v>2</v>
      </c>
      <c r="O2" s="9" t="s">
        <v>53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10/15/2026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6D03-D5E5-4638-94D0-65ECE68C7A9E}">
  <dimension ref="A1:P2"/>
  <sheetViews>
    <sheetView workbookViewId="0">
      <selection activeCell="K2" sqref="K2"/>
    </sheetView>
  </sheetViews>
  <sheetFormatPr defaultRowHeight="14.5" x14ac:dyDescent="0.35"/>
  <cols>
    <col min="11" max="11" customWidth="true" width="27.0898437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39</v>
      </c>
      <c r="C2" s="4"/>
      <c r="D2" s="5" t="s">
        <v>15</v>
      </c>
      <c r="E2" s="5" t="s">
        <v>16</v>
      </c>
      <c r="F2" s="5" t="s">
        <v>17</v>
      </c>
      <c r="G2" t="str" s="0">
        <f>"Bridges"</f>
        <v>Bridges</v>
      </c>
      <c r="H2" t="s" s="0">
        <v>18</v>
      </c>
      <c r="I2" t="s" s="0">
        <v>19</v>
      </c>
      <c r="J2" t="s" s="0">
        <v>20</v>
      </c>
      <c r="K2" s="6" t="s">
        <v>27</v>
      </c>
      <c r="L2" s="6" t="str">
        <f ca="1">TEXT(TODAY()+1,"mm/dd/yyyy")</f>
        <v>10/15/2026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Name Appearing on Card:,	DULIP EKANAYAKE,
Card Type:,Visa,
Card Number:,47****0011,
Expiration Date:,12/2028
Billing Address:,	708 36TH AVE NW,
Hickory,  New York ,  28601,
Country:,	UNITED STATES,
3. Payment Plan Information,
Payment Plan Type:,	Installment Plan,
Payment Plan Duration:,	Daily,
Payment Plan Start Date:,	
4. Payment Plan,1 Daily payment of $10.00 on 10/15/2026,A Convenience Fee will be added to each transaction issued for 1 Daily payment of 2.00 starting on 10/15/2026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10/15/2026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6D05-9B7E-4C82-8712-7C58E6433EF7}">
  <dimension ref="A1:P2"/>
  <sheetViews>
    <sheetView topLeftCell="A2" workbookViewId="0">
      <selection activeCell="N2" sqref="N2"/>
    </sheetView>
  </sheetViews>
  <sheetFormatPr defaultRowHeight="14.5" x14ac:dyDescent="0.35"/>
  <cols>
    <col min="11" max="11" customWidth="true" width="29.0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66</v>
      </c>
      <c r="C2" s="4"/>
      <c r="D2" s="5" t="s">
        <v>15</v>
      </c>
      <c r="E2" s="5" t="s">
        <v>16</v>
      </c>
      <c r="F2" s="5" t="s">
        <v>17</v>
      </c>
      <c r="G2" t="str" s="0">
        <f>"Carlos"</f>
        <v>Carlos</v>
      </c>
      <c r="H2" t="s" s="0">
        <v>18</v>
      </c>
      <c r="I2" t="s" s="0">
        <v>19</v>
      </c>
      <c r="J2" t="s" s="0">
        <v>20</v>
      </c>
      <c r="K2" s="6" t="s">
        <v>64</v>
      </c>
      <c r="L2" s="6" t="str">
        <f ca="1">TEXT(TODAY()+1,"mm/dd/yyyy")</f>
        <v>10/15/2026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First Name:,	DULIP,_x000D_
Last Name:,	EKANAYAKE,_x000D_
Routing Number:,	****2691,_x000D_
Account Number:,	****8904,_x000D_
Billing Address:,	708 36TH AVE NW,,_x000D_
Hickory, New York NY, 28601,_x000D_
Country:,	UNITED STATES,_x000D_
Account Type:,	Personal Checking,_x000D_
3. Payment Plan Information,_x000D_
Payment Plan Type:,	Installment Plan,_x000D_
Payment Plan Duration:,	Daily,_x000D_
Payment Plan Start Date:,	_x000D_
4. Payment Plan,1 Daily payment of $10.00 on 10/15/2026,A Convenience Fee will be added to each transaction issued for 1 Daily payment of 2.00 starting on 10/15/2026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10/15/2026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C360F-0C63-4638-A4B3-246CDDD4C83D}">
  <dimension ref="A1:P2"/>
  <sheetViews>
    <sheetView workbookViewId="0">
      <selection activeCell="J2" sqref="J2"/>
    </sheetView>
  </sheetViews>
  <sheetFormatPr defaultRowHeight="14.5" x14ac:dyDescent="0.35"/>
  <cols>
    <col min="11" max="11" customWidth="true" width="29.9062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47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18</v>
      </c>
      <c r="I2" t="s" s="0">
        <v>19</v>
      </c>
      <c r="J2" t="s" s="0">
        <v>20</v>
      </c>
      <c r="K2" s="6" t="s">
        <v>34</v>
      </c>
      <c r="L2" s="6" t="str">
        <f ca="1">TEXT(TODAY()+1,"mm/dd/yyyy")</f>
        <v>10/15/2026</v>
      </c>
      <c r="M2" s="7">
        <v>10</v>
      </c>
      <c r="N2" s="8">
        <v>2</v>
      </c>
      <c r="O2" s="9" t="str">
        <f ca="1">K2&amp;TEXT(M2,"0.00")&amp;" on "&amp;L2&amp;","&amp;P2</f>
        <v>Scheduled Payment--View the Information,
Remittance ID: 6210-402999,
1. Review bill to pay,
Pending Bills,	Due Date,	Date Submitted,	Date Modified,	Amount Due,	Amount to Pay,	
AutoABPDemoBBGSCF6210,	 EST, 	
UDF1:,	udf data 1,
UDF2:,	udf data 2,
UDF3:,	udf3,
UDF4:,	udf data4,
2. Payment Method,
First Name:,	DULIP,
Last Name:,	EKANAYAKE,
Routing Number:,	****2691,
Account Number:,	****5489,
Billing Address:,	708 36TH AVE NW,,
Hickory, New York NY, 28601,
Country:,	UNITED STATES,
Account Type:,	Personal Savings,
3. Payment Plan Information,
Payment Plan Type:,	Installment Plan,
Payment Plan Duration:,	Daily,
Payment Plan Start Date:,	
4. Payment Plan,1 Daily payment of $10.00 on 10/15/2026,A Convenience Fee will be added to each transaction issued for 1 Daily payment of 2.00 starting on 10/15/2026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2.00 starting on 10/15/2026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E7D8-8383-49E4-B847-6D1C69A1CC13}">
  <dimension ref="A1:P2"/>
  <sheetViews>
    <sheetView workbookViewId="0">
      <selection activeCell="N2" sqref="N2"/>
    </sheetView>
  </sheetViews>
  <sheetFormatPr defaultRowHeight="14.5" x14ac:dyDescent="0.35"/>
  <cols>
    <col min="11" max="11" customWidth="true" width="27.1796875" collapsed="true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 s="0">
        <v>14</v>
      </c>
      <c r="B2" t="s" s="0">
        <v>63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22</v>
      </c>
      <c r="I2" t="s" s="0">
        <v>25</v>
      </c>
      <c r="J2" t="s" s="0">
        <v>20</v>
      </c>
      <c r="K2" s="6" t="s">
        <v>62</v>
      </c>
      <c r="L2" s="6" t="str">
        <f ca="1">TEXT(TODAY()+1,"mm/dd/yyyy")</f>
        <v>10/15/2026</v>
      </c>
      <c r="M2" s="7">
        <v>10</v>
      </c>
      <c r="N2" s="8">
        <v>2</v>
      </c>
      <c r="O2" s="9" t="str">
        <f ca="1">K2&amp;TEXT(M2,"0.00")&amp;" starting on "&amp;L2&amp;","&amp;P2</f>
        <v>Scheduled Payment--View the Information,_x000D_
Remittance ID: 6210-402999,_x000D_
1. Review bill to pay,_x000D_
Pending Bills,	Due Date,	Date Submitted,	Date Modified,	Amount Due,	Amount to Pay,	_x000D_
AutoABPDemoBBGSCF6210,	 EST, 	_x000D_
UDF1:,	udf data 1,_x000D_
UDF2:,	udf data 2,_x000D_
UDF3:,	udf3,_x000D_
UDF4:,	udf data4,_x000D_
2. Payment Method,_x000D_
Company Name:,	Vaddahun Corp,_x000D_
First Name:,	DULIP,_x000D_
Last Name:,	EKANAYAKE,_x000D_
Business Tax ID:,	999999999,_x000D_
Routing Number:,	****2691,_x000D_
Account Number:,	****8903,_x000D_
Billing Address:,	708 36TH AVE NW,,_x000D_
Hickory, New York NY, 28601,_x000D_
Country:,	UNITED STATES,_x000D_
Account Type:,Business Checking,_x000D_
3. Payment Plan Information,_x000D_
Payment Plan Type:,	Recurring,_x000D_
Payment Plan Duration:,	Monthly,_x000D_
Payment Plan Start Date:,	_x000D_
4. Payment Plan,Monthly payments of $10.00 starting on 10/15/2026,A Convenience Fee will be added to each transaction issued for Monthly payment of 2.00 starting on 10/15/2026 ,Individual Convenience Fee Amount:,	
Total Convenience Fees Paid:,	
Total Paid under this plan:</v>
      </c>
      <c r="P2" s="10" t="str">
        <f ca="1">"A Convenience Fee will be added to each transaction issued for Monthly payment of "&amp;  TEXT(N2,"0.00")&amp;" starting on "&amp;L2&amp;" ,Individual Convenience Fee Amount:,	
Total Convenience Fees Paid:,	
Total Paid under this plan:"</f>
        <v>A Convenience Fee will be added to each transaction issued for Monthly payment of 2.00 starting on 10/15/2026 ,Individual Convenience Fee Amount:,	
Total Convenience Fees Paid:,	
Total Paid under this plan: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CVCSPSCFCorp_IPDailyNOP</vt:lpstr>
      <vt:lpstr>CVCSPSCFCorp_AutomaticPayment</vt:lpstr>
      <vt:lpstr>CVCSPSCFPC_AutomaticPayment</vt:lpstr>
      <vt:lpstr>CVCSPSCFPS_AutomaticPayment</vt:lpstr>
      <vt:lpstr>CVCSPSCFCC_AutomaticPayment</vt:lpstr>
      <vt:lpstr>CVCSPSCFPS_RecDeferred</vt:lpstr>
      <vt:lpstr>CVCSPSCFPC_RecDeferred</vt:lpstr>
      <vt:lpstr>CVCSPSCFCorp_RecDeferred</vt:lpstr>
      <vt:lpstr>CVCSPSCFCC_RecDeferred</vt:lpstr>
      <vt:lpstr>CVCSPSCFPS_RecDaily</vt:lpstr>
      <vt:lpstr>CVCSPSCFPC_RecDaily</vt:lpstr>
      <vt:lpstr>CVCSPSCFCorp_RecDaily</vt:lpstr>
      <vt:lpstr>CVCSPSCFCC_RecDaily</vt:lpstr>
      <vt:lpstr>CVCSPSCFPS_IPDeferred</vt:lpstr>
      <vt:lpstr>CVCSPSCFPC_IPDeferred</vt:lpstr>
      <vt:lpstr>CVCSPSCFCC_IPDeferred</vt:lpstr>
      <vt:lpstr>CVCSPSCFCorp_IPDeferred</vt:lpstr>
      <vt:lpstr>CVCSPSCFPS_IPDailyIA</vt:lpstr>
      <vt:lpstr>CVCSPSCFPC_IPDailyIA</vt:lpstr>
      <vt:lpstr>CVCSPSCFCC_IPDailyIA</vt:lpstr>
      <vt:lpstr>CVCSPSCFCorp_IPDailyIA</vt:lpstr>
      <vt:lpstr>CVCSPSCFCC_IPDailyNOP</vt:lpstr>
      <vt:lpstr>CVCSPSCFPC_IPDailyNOP</vt:lpstr>
      <vt:lpstr>CVCSPSCFPS_IPDailyNOP</vt:lpstr>
      <vt:lpstr>CVCSPSCFCorp_RecMonthly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Mishra, Komal</dc:creator>
  <cp:lastModifiedBy>Bhushan, Bharat</cp:lastModifiedBy>
  <dcterms:modified xsi:type="dcterms:W3CDTF">2026-10-14T12:07:36Z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2025-09-15T19:18:12Z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79d9fbb5-dbb1-4df5-8faf-47d3ac8a6478</vt:lpwstr>
  </property>
  <property fmtid="{D5CDD505-2E9C-101B-9397-08002B2CF9AE}" pid="8" name="MSIP_Label_0fe51ac3-344e-4d7e-82a2-d6ed2fbd0340_ContentBits">
    <vt:lpwstr>2</vt:lpwstr>
  </property>
  <property fmtid="{D5CDD505-2E9C-101B-9397-08002B2CF9AE}" pid="9" name="MSIP_Label_0fe51ac3-344e-4d7e-82a2-d6ed2fbd0340_Tag">
    <vt:lpwstr>10, 0, 1, 1</vt:lpwstr>
  </property>
</Properties>
</file>