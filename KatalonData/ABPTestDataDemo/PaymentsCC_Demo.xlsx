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231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1433B12F-2A0A-4BE1-8C5A-90D3F77E72E1}" revIDLastSave="0" xr10:uidLastSave="{00000000-0000-0000-0000-000000000000}" xr6:coauthVersionLast="47" xr6:coauthVersionMax="47"/>
  <bookViews>
    <workbookView activeTab="6" firstSheet="6" windowHeight="115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<sst xmlns="http://schemas.openxmlformats.org/spreadsheetml/2006/main" count="336" uniqueCount="73">
  <si>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</si>
  <si>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</si>
  <si>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</si>
  <si>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</si>
  <si>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</si>
  <si>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</si>
  <si>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</si>
  <si>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</si>
  <si>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</si>
  <si>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</si>
  <si>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</si>
  <si>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</si>
  <si>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</si>
  <si>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</si>
  <si>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Mon May 19 19:55:54 IST 2025</t>
  </si>
  <si>
    <t>Mon May 19 19:56:20 IST 2025</t>
  </si>
  <si>
    <t>VTFees</t>
  </si>
  <si>
    <t>VTAmount</t>
  </si>
  <si>
    <t>N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</si>
  <si>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</si>
  <si>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</si>
  <si>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</si>
  <si>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</si>
  <si>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AddressLine1</t>
  </si>
  <si>
    <t>Zip</t>
  </si>
  <si>
    <t>City</t>
  </si>
  <si>
    <t>NameOnCard</t>
  </si>
  <si>
    <t>Fail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</si>
  <si>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</si>
  <si>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</si>
  <si>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</si>
  <si>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</si>
  <si>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</si>
  <si>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</si>
  <si>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</si>
  <si>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</si>
  <si>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</si>
  <si>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</si>
  <si>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</si>
  <si>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</si>
  <si>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Mon Sep 08 19:16:24 IST 2025</t>
  </si>
  <si>
    <t>IndividualAmount</t>
  </si>
  <si>
    <t>NumberOfPayments</t>
  </si>
  <si>
    <t>Mon Sep 08 23:14:30 IST 2025</t>
  </si>
  <si>
    <t>Sat Oct 25 23:24:17 IST 2025</t>
  </si>
  <si>
    <t>Sun Oct 26 00:21:26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</si>
  <si>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</si>
  <si>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</si>
  <si>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</si>
  <si>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</si>
  <si>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</si>
  <si>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</si>
  <si>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10:07:10 IST 2025</t>
  </si>
  <si>
    <t>Thu Oct 30 10:09:46 IST 2025</t>
  </si>
  <si>
    <t>Thu Oct 30 10:12:28 IST 2025</t>
  </si>
  <si>
    <t>Thu Oct 30 10:49:47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</si>
  <si>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</si>
  <si>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</si>
  <si>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</si>
  <si>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</si>
  <si>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</si>
  <si>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708 36TH AVE NW</t>
  </si>
  <si>
    <t>Hickory</t>
  </si>
  <si>
    <t>DULIP EKANAYAKE</t>
  </si>
  <si>
    <t xml:space="preserve"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</t>
  </si>
  <si>
    <t>Visa,47****0011,Expires, 12/2028,Billing Address:,
1853 Mandan Terace,
Hickory,  New York,  20770
United States</t>
  </si>
  <si>
    <t>Mon Dec 15 23:39:15 IST 2025</t>
  </si>
  <si>
    <t>Tue Dec 16 19:22:28 IST 2025</t>
  </si>
  <si>
    <t>Name Appearing on Card:,TABATHA MCGALLIARD,
Card Type:,	Mastercard Debit,
Card Number:,	51****0035,
Expiration Date:,	10/2028,
Billing Address:,	1645 FOX ST,
Concover, New York NY 28613,
Country:,	UNITED STATES,</t>
  </si>
  <si>
    <t/>
  </si>
  <si>
    <t>Tue Dec 16 19:24:38 IST 2025</t>
  </si>
  <si>
    <t>Thu Dec 18 15:06:18 IST 2025</t>
  </si>
  <si>
    <t>Thu Dec 18 15:18:49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</si>
</sst>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4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  <xf applyAlignment="1" applyBorder="1" applyFill="1" applyFont="1" borderId="1" fillId="2" fontId="1" numFmtId="0" xfId="0">
      <alignment vertical="top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56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57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58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M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16</v>
      </c>
      <c r="L1" s="4" t="s">
        <v>17</v>
      </c>
    </row>
    <row r="2" spans="1:12" x14ac:dyDescent="0.35">
      <c r="A2" t="s">
        <v>10</v>
      </c>
      <c r="B2" t="s">
        <v>46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>
        <v>10</v>
      </c>
      <c r="B3" t="s">
        <v>14</v>
      </c>
      <c r="C3" s="3"/>
      <c r="D3" s="1" t="s">
        <v>18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>
        <v>10</v>
      </c>
      <c r="B4" t="s">
        <v>15</v>
      </c>
      <c r="C4" s="3"/>
      <c r="D4" s="1" t="s">
        <v>18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M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/>
    </row>
    <row ht="145" r="2" spans="1:12" x14ac:dyDescent="0.35">
      <c r="A2" t="s">
        <v>10</v>
      </c>
      <c r="B2" t="s">
        <v>48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20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K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52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53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54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K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49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50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51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K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55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L2"/>
  <sheetViews>
    <sheetView tabSelected="1" workbookViewId="0">
      <selection activeCell="J2" sqref="J2"/>
    </sheetView>
  </sheetViews>
  <sheetFormatPr defaultRowHeight="14.5" x14ac:dyDescent="0.35"/>
  <cols>
    <col min="11" max="11" customWidth="true" width="42.906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</row>
    <row customHeight="1" ht="231" r="2" spans="1:11" x14ac:dyDescent="0.35">
      <c r="A2" t="s">
        <v>10</v>
      </c>
      <c r="B2" t="s">
        <v>70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68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L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</row>
    <row ht="362.5" r="2" spans="1:11" x14ac:dyDescent="0.35">
      <c r="A2" t="s">
        <v>10</v>
      </c>
      <c r="B2" t="s">
        <v>47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21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P2"/>
  <sheetViews>
    <sheetView workbookViewId="0">
      <selection activeCell="K2" sqref="K2"/>
    </sheetView>
  </sheetViews>
  <sheetFormatPr defaultRowHeight="14.5" x14ac:dyDescent="0.35"/>
  <cols>
    <col min="1" max="1" style="10" width="8.7265625" collapsed="true"/>
    <col min="2" max="2" customWidth="true" style="10" width="7.90625" collapsed="true"/>
    <col min="3" max="9" style="10" width="8.7265625" collapsed="true"/>
    <col min="10" max="10" customWidth="true" style="10" width="10.453125" collapsed="true"/>
    <col min="11" max="11" customWidth="true" style="10" width="20.7265625" collapsed="true"/>
    <col min="12" max="12" customWidth="true" style="10" width="18.0" collapsed="true"/>
    <col min="13" max="13" style="10" width="8.7265625" collapsed="true"/>
    <col min="14" max="14" bestFit="true" customWidth="true" style="10" width="9.36328125" collapsed="true"/>
    <col min="15" max="15" bestFit="true" customWidth="true" style="10" width="19.453125" collapsed="true"/>
    <col min="16" max="16384" style="10" width="8.7265625" collapsed="true"/>
  </cols>
  <sheetData>
    <row r="1" spans="1:15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13" t="s">
        <v>6</v>
      </c>
      <c r="H1" s="7" t="s">
        <v>7</v>
      </c>
      <c r="I1" s="7" t="s">
        <v>8</v>
      </c>
      <c r="J1" s="7" t="s">
        <v>9</v>
      </c>
      <c r="K1" s="7" t="s">
        <v>19</v>
      </c>
      <c r="L1" s="7" t="s">
        <v>23</v>
      </c>
      <c r="M1" s="7" t="s">
        <v>24</v>
      </c>
      <c r="N1" s="7" t="s">
        <v>25</v>
      </c>
      <c r="O1" s="7" t="s">
        <v>26</v>
      </c>
    </row>
    <row ht="333.5" r="2" spans="1:15" x14ac:dyDescent="0.35">
      <c r="A2" s="8" t="s">
        <v>10</v>
      </c>
      <c r="B2" s="8" t="s">
        <v>22</v>
      </c>
      <c r="C2" s="8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64</v>
      </c>
      <c r="L2" s="8" t="s">
        <v>61</v>
      </c>
      <c r="M2" s="8">
        <v>28601</v>
      </c>
      <c r="N2" s="8" t="s">
        <v>62</v>
      </c>
      <c r="O2" s="8" t="s">
        <v>63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P2"/>
  <sheetViews>
    <sheetView workbookViewId="0">
      <selection activeCell="M9" sqref="M9"/>
    </sheetView>
  </sheetViews>
  <sheetFormatPr defaultRowHeight="14.5" x14ac:dyDescent="0.35"/>
  <cols>
    <col min="7" max="7" customWidth="true" width="11.36328125" collapsed="true"/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19</v>
      </c>
      <c r="L1" s="1" t="s">
        <v>23</v>
      </c>
      <c r="M1" s="1" t="s">
        <v>24</v>
      </c>
      <c r="N1" s="1" t="s">
        <v>25</v>
      </c>
      <c r="O1" s="1" t="s">
        <v>26</v>
      </c>
    </row>
    <row ht="130.5" r="2" spans="1:15" x14ac:dyDescent="0.35">
      <c r="A2" t="s">
        <v>10</v>
      </c>
      <c r="B2" t="s">
        <v>72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65</v>
      </c>
      <c r="L2" s="1"/>
      <c r="M2" s="9"/>
      <c r="N2" s="9"/>
      <c r="O2" s="9" t="s">
        <v>63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J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</row>
    <row r="2" spans="1:9" x14ac:dyDescent="0.35">
      <c r="A2" t="s">
        <v>10</v>
      </c>
      <c r="B2" t="s">
        <v>44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35</v>
      </c>
      <c r="I2" t="s">
        <v>36</v>
      </c>
    </row>
    <row r="3" spans="1:9" x14ac:dyDescent="0.35">
      <c r="A3" t="s">
        <v>10</v>
      </c>
      <c r="B3" t="s">
        <v>37</v>
      </c>
      <c r="D3" s="7" t="s">
        <v>18</v>
      </c>
      <c r="E3" s="7" t="s">
        <v>12</v>
      </c>
      <c r="F3" s="7" t="s">
        <v>13</v>
      </c>
      <c r="G3" t="str">
        <f>"Bridges"</f>
        <v>Bridges</v>
      </c>
      <c r="H3" t="s">
        <v>33</v>
      </c>
      <c r="I3" t="s">
        <v>32</v>
      </c>
    </row>
    <row r="4" spans="1:9" x14ac:dyDescent="0.35">
      <c r="A4" t="s">
        <v>27</v>
      </c>
      <c r="B4" t="s">
        <v>38</v>
      </c>
      <c r="D4" s="7" t="s">
        <v>18</v>
      </c>
      <c r="E4" s="7" t="s">
        <v>12</v>
      </c>
      <c r="F4" s="7" t="s">
        <v>13</v>
      </c>
      <c r="G4" t="str">
        <f>"Bridges"</f>
        <v>Bridges</v>
      </c>
      <c r="H4" t="s">
        <v>34</v>
      </c>
    </row>
    <row r="6" spans="1:9" x14ac:dyDescent="0.35">
      <c r="G6" s="11" t="s">
        <v>28</v>
      </c>
    </row>
    <row r="7" spans="1:9" x14ac:dyDescent="0.35">
      <c r="G7" s="11" t="s">
        <v>28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K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  <c r="J1" t="s">
        <v>39</v>
      </c>
    </row>
    <row r="2" spans="1:10" x14ac:dyDescent="0.35">
      <c r="A2" t="s">
        <v>10</v>
      </c>
      <c r="B2" t="s">
        <v>60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35</v>
      </c>
      <c r="I2" t="s">
        <v>32</v>
      </c>
      <c r="J2" t="s">
        <v>42</v>
      </c>
    </row>
    <row r="3" spans="1:10" x14ac:dyDescent="0.35">
      <c r="A3" t="s">
        <v>27</v>
      </c>
      <c r="B3" t="s">
        <v>40</v>
      </c>
      <c r="D3" s="7" t="s">
        <v>18</v>
      </c>
      <c r="E3" s="7" t="s">
        <v>12</v>
      </c>
      <c r="F3" s="7" t="s">
        <v>13</v>
      </c>
      <c r="G3" t="str">
        <f>"Bridges"</f>
        <v>Bridges</v>
      </c>
      <c r="H3" t="s">
        <v>35</v>
      </c>
      <c r="I3" t="s">
        <v>32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K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  <c r="J1" t="s">
        <v>39</v>
      </c>
    </row>
    <row r="2" spans="1:10" x14ac:dyDescent="0.35">
      <c r="A2" t="s">
        <v>10</v>
      </c>
      <c r="B2" t="s">
        <v>59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35</v>
      </c>
      <c r="I2" t="s">
        <v>32</v>
      </c>
      <c r="J2" t="s">
        <v>41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K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  <c r="J1" t="s">
        <v>39</v>
      </c>
    </row>
    <row r="2" spans="1:10" x14ac:dyDescent="0.35">
      <c r="A2" t="s">
        <v>10</v>
      </c>
      <c r="B2" t="s">
        <v>45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33</v>
      </c>
      <c r="I2" t="s">
        <v>32</v>
      </c>
      <c r="J2" t="s">
        <v>41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K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  <c r="J1" t="s">
        <v>39</v>
      </c>
    </row>
    <row r="2" spans="1:10" x14ac:dyDescent="0.35">
      <c r="A2" t="s">
        <v>10</v>
      </c>
      <c r="B2" t="s">
        <v>43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33</v>
      </c>
      <c r="I2" t="s">
        <v>36</v>
      </c>
      <c r="J2" t="s">
        <v>41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J2"/>
  <sheetViews>
    <sheetView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</row>
    <row r="2" spans="1:9" x14ac:dyDescent="0.35">
      <c r="A2" t="s">
        <v>27</v>
      </c>
      <c r="B2" t="s">
        <v>38</v>
      </c>
      <c r="D2" s="7" t="s">
        <v>18</v>
      </c>
      <c r="E2" s="7" t="s">
        <v>12</v>
      </c>
      <c r="F2" s="7" t="s">
        <v>13</v>
      </c>
      <c r="G2" t="str">
        <f>"Bridges"</f>
        <v>Bridges</v>
      </c>
      <c r="H2" t="s">
        <v>34</v>
      </c>
      <c r="I2" t="s">
        <v>36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2025-12-16T13:54:18Z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