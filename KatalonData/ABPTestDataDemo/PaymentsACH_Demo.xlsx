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88D7FCC8-A69A-4668-995A-3F612DF8B435}" revIDLastSave="0" xr10:uidLastSave="{00000000-0000-0000-0000-000000000000}" xr6:coauthVersionLast="47" xr6:coauthVersionMax="47"/>
  <bookViews>
    <workbookView activeTab="38" firstSheet="37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<sst xmlns="http://schemas.openxmlformats.org/spreadsheetml/2006/main" count="931" uniqueCount="155">
  <si>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</si>
  <si>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</si>
  <si>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</si>
  <si>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</si>
  <si>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</si>
  <si>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</si>
  <si>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</si>
  <si>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</si>
  <si>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</si>
  <si>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</si>
  <si>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</si>
  <si>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</si>
  <si>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</si>
  <si>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</si>
  <si>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</si>
  <si>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</si>
  <si>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</si>
  <si>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</si>
  <si>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</si>
  <si>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</si>
  <si>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</si>
  <si>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</si>
  <si>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</si>
  <si>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</si>
  <si>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</si>
  <si>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</si>
  <si>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</si>
  <si>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</si>
  <si>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</si>
  <si>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</si>
  <si>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</si>
  <si>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</si>
  <si>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</si>
  <si>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</si>
  <si>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</si>
  <si>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</si>
  <si>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</si>
  <si>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</si>
  <si>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</si>
  <si>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</si>
  <si>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</si>
  <si>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</si>
  <si>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</si>
  <si>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</si>
  <si>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</si>
  <si>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</si>
  <si>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</si>
  <si>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</si>
  <si>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</si>
  <si>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</si>
  <si>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Sun Oct 26 19:32:00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</si>
  <si>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</si>
  <si>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</si>
  <si>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</si>
  <si>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</si>
  <si>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</si>
  <si>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</si>
  <si>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</si>
  <si>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</si>
  <si>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</si>
  <si>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</si>
  <si>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</si>
  <si>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</si>
  <si>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</si>
  <si>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10:50:15 IST 2025</t>
  </si>
  <si>
    <t>Thu Oct 30 10:50:45 IST 2025</t>
  </si>
  <si>
    <t>Thu Oct 30 10:51:12 IST 2025</t>
  </si>
  <si>
    <t>Mon Nov 17 22:53:43 IST 2025</t>
  </si>
  <si>
    <t>Mon Nov 17 22:55:01 IST 2025</t>
  </si>
  <si>
    <t>Mon Nov 17 22:56:05 IST 2025</t>
  </si>
  <si>
    <t>708 36TH AVE NW</t>
  </si>
  <si>
    <t>Hickory</t>
  </si>
  <si>
    <t>DULIP EKANAYAKE</t>
  </si>
  <si>
    <t xml:space="preserve"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</si>
  <si>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</t>
  </si>
  <si>
    <t xml:space="preserve"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</t>
  </si>
  <si>
    <t xml:space="preserve">Company Name:,Vaddahun Corp,
First Name:,	TABATHA,
Last Name:,	MCGALLIARD,
Routing Number:,	****2691,
Account Number:,	****5489,
Billing Address:,	1645 FOX ST,
Concover, 28613,
Country:,	UNITED STATES,
Account Type:,	Business Checking,
</t>
  </si>
  <si>
    <t>Tue Dec 16 19:54:50 IST 2025</t>
  </si>
  <si>
    <t>First Name:,TABATHA,
Last Name:,MCGALLIARD,
Routing Number:,****2691,
Account Number:,****7541,
Billing Address:,1645 FOX ST,
Concover, 28613,
Country:,UNITED STATES,
Account Type:,Personal Checking,</t>
  </si>
  <si>
    <t>Tue Dec 16 20:09:30 IST 2025</t>
  </si>
  <si>
    <t>CarlosJacinta,
First Name:,	TABATHA,
Last Name:,	MCGALLIARD,
Routing Number:,	****2691,
Account Number:,	****345,
Billing Address:,	1645 FOX ST,
Concover, 28613,
Country:,	UNITED STATES,
Account Type:,	Personal Savings,</t>
  </si>
  <si>
    <t>Tue Dec 16 20:20:43 IST 2025</t>
  </si>
  <si>
    <t>Business Checking,
****3456,Billing Address:,
1853 Mandan Terace,
Hickory,  New York,  20770
United States</t>
  </si>
  <si>
    <t>Personal Checking,
****4567,Billing Address:,
1853 Mandan Terace,
Hickory,  New York ,  20770
United States</t>
  </si>
  <si>
    <t>Thu Dec 18 00:39:10 IST 2025</t>
  </si>
  <si>
    <t>Personal Savings,
****345,Billing Address:,
1853 Mandan Terace,
Hickory,  New York ,  20770
United States</t>
  </si>
  <si>
    <t>Thu Dec 18 13:02:00 IST 2025</t>
  </si>
  <si>
    <t>Thu Dec 18 22:38:23 IST 2025</t>
  </si>
  <si>
    <t>Tue Dec 23 16:56:19 IST 2025</t>
  </si>
  <si>
    <t>Tue Dec 23 17:00:01 IST 2025</t>
  </si>
  <si>
    <t>Tue Dec 23 18:06:53 IST 2025</t>
  </si>
  <si>
    <t>Tue Dec 23 18:16:36 IST 2025</t>
  </si>
  <si>
    <t>Tue Dec 23 18:21:31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</si>
  <si>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</t>
  </si>
  <si>
    <t>Fri Dec 26 23:35:29 IST 2025</t>
  </si>
  <si>
    <t>Tue Dec 30 00:24:41 IST 2025</t>
  </si>
  <si>
    <t>Tue Dec 30 00:29:41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</si>
  <si>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</t>
  </si>
  <si>
    <t>Tue Dec 30 20:58:19 IST 2025</t>
  </si>
  <si>
    <t>Tue Dec 30 21:06:00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</si>
  <si>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</t>
  </si>
  <si>
    <t>Tue Dec 30 21:12:06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</si>
  <si>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</t>
  </si>
  <si>
    <t>Tue Dec 30 21:24:30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</si>
  <si>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Personal Savings,
3. Payment Plan Information,
Payment Plan Type:,	Automatic Payment 
Payment Plan Start Date:,	
4. Payment Plan, Amount due will be paid 3 calendar days before the Due Date</t>
  </si>
  <si>
    <t/>
  </si>
  <si>
    <t>Wed Dec 31 16:34:19 IST 2025</t>
  </si>
  <si>
    <t>Tue Jan 06 23:21:28 IST 2026</t>
  </si>
  <si>
    <t>Tue Jan 06 23:22:19 IST 2026</t>
  </si>
  <si>
    <t>Tue Jan 06 23:22:54 IST 2026</t>
  </si>
  <si>
    <t>Fri Jul 03 18:16:51 IST 2026</t>
  </si>
  <si>
    <t>Fri Jul 03 18:17:35 IST 2026</t>
  </si>
  <si>
    <t>Fri Jul 03 18:18:22 IST 2026</t>
  </si>
  <si>
    <t>Fri Jul 03 20:22:25 IST 2026</t>
  </si>
  <si>
    <t>Fri Jul 03 20:23:08 IST 2026</t>
  </si>
  <si>
    <t>Fri Jul 03 20:24:28 IST 2026</t>
  </si>
  <si>
    <t>Fri Jul 03 22:14:57 IST 2026</t>
  </si>
  <si>
    <t>Fri Jul 03 22:16:00 IST 2026</t>
  </si>
  <si>
    <t>Fri Jul 03 22:16:32 IST 2026</t>
  </si>
  <si>
    <t>Fri Jul 03 22:17:05 IST 2026</t>
  </si>
  <si>
    <t>Fri Jul 03 22:17:33 IST 2026</t>
  </si>
  <si>
    <t>Fri Jul 03 22:18:00 IST 2026</t>
  </si>
  <si>
    <t>Fri Jul 03 22:19:02 IST 2026</t>
  </si>
  <si>
    <t>Fri Jul 03 22:19:29 IST 2026</t>
  </si>
  <si>
    <t>Mon Jul 06 23:59:16 IST 2026</t>
  </si>
  <si>
    <t>Tue Jul 07 00:00:04 IST 2026</t>
  </si>
  <si>
    <t>Tue Jul 07 00:20:45 IST 2026</t>
  </si>
  <si>
    <t>Tue Jul 07 00:21:32 IST 2026</t>
  </si>
  <si>
    <t>Tue Jul 07 00:22:19 IST 2026</t>
  </si>
  <si>
    <t>Tue Jul 07 00:23:11 IST 2026</t>
  </si>
  <si>
    <t>Tue Jul 07 00:24:00 IST 2026</t>
  </si>
  <si>
    <t>Tue Jul 07 00:24:49 IST 2026</t>
  </si>
  <si>
    <t>Tue Jul 07 00:25:35 IST 2026</t>
  </si>
  <si>
    <t>Tue Jul 07 00:26:25 IST 2026</t>
  </si>
  <si>
    <t>Tue Jul 07 00:27:11 IST 2026</t>
  </si>
  <si>
    <t>Tue Jul 07 00:27:56 IST 2026</t>
  </si>
  <si>
    <t>Tue Jul 07 00:28:44 IST 2026</t>
  </si>
  <si>
    <t>Tue Jul 07 00:29:32 IST 2026</t>
  </si>
  <si>
    <t>Tue Jul 07 00:30:20 IST 2026</t>
  </si>
  <si>
    <t>Tue Jul 07 00:31:08 IST 2026</t>
  </si>
  <si>
    <t>Tue Jul 07 00:31:57 IST 2026</t>
  </si>
  <si>
    <t>Tue Jul 07 00:32:46 IST 2026</t>
  </si>
  <si>
    <t>Tue Jul 07 00:33:31 IST 2026</t>
  </si>
  <si>
    <t>Tue Jul 07 00:34:18 IST 2026</t>
  </si>
  <si>
    <t>Tue Jul 07 00:51:36 IST 2026</t>
  </si>
  <si>
    <t>Tue Jul 07 00:52:11 IST 2026</t>
  </si>
  <si>
    <t>Tue Jul 07 00:52:47 IST 2026</t>
  </si>
  <si>
    <t>Wed Jul 22 15:48:59 IST 2026</t>
  </si>
  <si>
    <t>Wed Jul 22 15:50:10 IST 2026</t>
  </si>
  <si>
    <t>Wed Jul 22 16:01:10 IST 2026</t>
  </si>
  <si>
    <t>Fri Jul 24 15:08:18 IST 2026</t>
  </si>
  <si>
    <t>Fri Jul 24 17:47:17 IST 2026</t>
  </si>
  <si>
    <t>Fri Jul 24 17:49:08 IST 2026</t>
  </si>
  <si>
    <t>Fri Jul 24 17:50:28 IST 2026</t>
  </si>
  <si>
    <t>Fri Jul 24 17:52:29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</si>
</sst>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1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122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119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118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53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48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16</v>
      </c>
      <c r="B3" t="s" s="0">
        <v>150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47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57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49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59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58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55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56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54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workbookViewId="0">
      <selection activeCell="O2" sqref="O2"/>
    </sheetView>
  </sheetViews>
  <sheetFormatPr defaultRowHeight="14.5" x14ac:dyDescent="0.35"/>
  <cols>
    <col min="11" max="11" customWidth="true" width="29.179687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62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75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workbookViewId="0">
      <selection activeCell="O2" sqref="L2:O2"/>
    </sheetView>
  </sheetViews>
  <sheetFormatPr defaultRowHeight="14.5" x14ac:dyDescent="0.35"/>
  <cols>
    <col min="11" max="11" customWidth="true" width="22.453125" collapsed="true"/>
    <col min="12" max="12" bestFit="true" customWidth="true" width="18.8164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91.5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74</v>
      </c>
      <c r="L2" s="11" t="s">
        <v>70</v>
      </c>
      <c r="M2" s="11">
        <v>28601</v>
      </c>
      <c r="N2" s="11" t="s">
        <v>71</v>
      </c>
      <c r="O2" s="11" t="s">
        <v>72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workbookViewId="0">
      <selection activeCell="J2" sqref="J2"/>
    </sheetView>
  </sheetViews>
  <sheetFormatPr defaultRowHeight="14.5" x14ac:dyDescent="0.35"/>
  <cols>
    <col min="1" max="10" style="11" width="8.7265625" collapsed="true"/>
    <col min="11" max="11" customWidth="true" style="11" width="29.90625" collapsed="true"/>
    <col min="12" max="12" bestFit="true" customWidth="true" style="11" width="18.81640625" collapsed="true"/>
    <col min="13" max="13" style="11" width="8.7265625" collapsed="true"/>
    <col min="14" max="14" bestFit="true" customWidth="true" style="11" width="9.36328125" collapsed="true"/>
    <col min="15" max="15" customWidth="true" style="11" width="16.36328125" collapsed="true"/>
    <col min="16" max="16384" style="11" width="8.7265625" collapsed="true"/>
  </cols>
  <sheetData>
    <row ht="29" r="1" spans="1:15" x14ac:dyDescent="0.3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0" t="s">
        <v>6</v>
      </c>
      <c r="H1" s="12" t="s">
        <v>7</v>
      </c>
      <c r="I1" s="12" t="s">
        <v>24</v>
      </c>
      <c r="J1" s="12" t="s">
        <v>9</v>
      </c>
      <c r="K1" s="12" t="s">
        <v>17</v>
      </c>
      <c r="L1" s="12" t="s">
        <v>25</v>
      </c>
      <c r="M1" s="12" t="s">
        <v>26</v>
      </c>
      <c r="N1" s="12" t="s">
        <v>27</v>
      </c>
      <c r="O1" s="12" t="s">
        <v>28</v>
      </c>
    </row>
    <row ht="391.5" r="2" spans="1:15" x14ac:dyDescent="0.35">
      <c r="A2" s="13" t="s">
        <v>10</v>
      </c>
      <c r="B2" s="13" t="s">
        <v>29</v>
      </c>
      <c r="C2" s="1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73</v>
      </c>
      <c r="L2" s="13" t="s">
        <v>70</v>
      </c>
      <c r="M2" s="13">
        <v>28601</v>
      </c>
      <c r="N2" s="13" t="s">
        <v>71</v>
      </c>
      <c r="O2" s="13" t="s">
        <v>72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G7" sqref="G7"/>
    </sheetView>
  </sheetViews>
  <sheetFormatPr defaultRowHeight="14.5" x14ac:dyDescent="0.35"/>
  <cols>
    <col min="11" max="11" customWidth="true" width="21.7265625" collapsed="true"/>
    <col min="15" max="15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87" r="2" spans="1:15" x14ac:dyDescent="0.35">
      <c r="A2" t="s" s="0">
        <v>10</v>
      </c>
      <c r="B2" t="s" s="0">
        <v>115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85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I8" sqref="I8"/>
    </sheetView>
  </sheetViews>
  <sheetFormatPr defaultRowHeight="14.5" x14ac:dyDescent="0.35"/>
  <cols>
    <col min="11" max="11" customWidth="true" width="22.453125" collapsed="true"/>
    <col min="15" max="15" customWidth="true" width="21.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101.5" r="2" spans="1:15" x14ac:dyDescent="0.35">
      <c r="A2" t="s" s="0">
        <v>10</v>
      </c>
      <c r="B2" t="s" s="0">
        <v>114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83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F8" sqref="F8"/>
    </sheetView>
  </sheetViews>
  <sheetFormatPr defaultRowHeight="14.5" x14ac:dyDescent="0.35"/>
  <cols>
    <col min="7" max="7" customWidth="true" width="12.26953125" collapsed="true"/>
    <col min="10" max="10" customWidth="true" width="12.81640625" collapsed="true"/>
    <col min="11" max="11" customWidth="true" width="24.1796875" collapsed="true"/>
    <col min="12" max="12" customWidth="true" width="12.90625" collapsed="true"/>
    <col min="15" max="15" customWidth="true" width="14.90625" collapsed="true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72.5" r="2" spans="1:15" x14ac:dyDescent="0.35">
      <c r="A2" t="s" s="0">
        <v>10</v>
      </c>
      <c r="B2" t="s" s="0">
        <v>113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82</v>
      </c>
      <c r="L2" s="14"/>
      <c r="M2" s="14"/>
      <c r="N2" s="14"/>
      <c r="O2" s="14" t="s">
        <v>72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activeCell="K2" sqref="K2"/>
    </sheetView>
  </sheetViews>
  <sheetFormatPr defaultRowHeight="14.5" x14ac:dyDescent="0.35"/>
  <cols>
    <col min="11" max="11" customWidth="true" width="36.453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165.5" r="2" spans="1:11" x14ac:dyDescent="0.35">
      <c r="A2" t="s" s="0">
        <v>10</v>
      </c>
      <c r="B2" t="s" s="0">
        <v>148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78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64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workbookViewId="0">
      <selection activeCell="K2" sqref="K2"/>
    </sheetView>
  </sheetViews>
  <sheetFormatPr defaultRowHeight="14.5" x14ac:dyDescent="0.35"/>
  <cols>
    <col min="11" max="11" customWidth="true" width="48.5429687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customHeight="1" ht="201" r="2" spans="1:11" x14ac:dyDescent="0.35">
      <c r="A2" t="s" s="0">
        <v>10</v>
      </c>
      <c r="B2" t="s" s="0">
        <v>147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76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36</v>
      </c>
    </row>
    <row r="2" spans="1:10" x14ac:dyDescent="0.35">
      <c r="A2" t="s" s="0">
        <v>10</v>
      </c>
      <c r="B2" t="s" s="0">
        <v>144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10</v>
      </c>
      <c r="B3" t="s" s="0">
        <v>145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33</v>
      </c>
      <c r="I3" t="s" s="0">
        <v>34</v>
      </c>
    </row>
    <row r="4" spans="1:10" x14ac:dyDescent="0.35">
      <c r="A4" t="s" s="0">
        <v>10</v>
      </c>
      <c r="B4" t="s" s="0">
        <v>146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35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G6" sqref="G6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30.5" r="2" spans="1:11" x14ac:dyDescent="0.35">
      <c r="A2" t="s" s="0">
        <v>10</v>
      </c>
      <c r="B2" t="s" s="0">
        <v>149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80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workbookViewId="0">
      <selection activeCell="J2" sqref="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  <col min="11" max="11" customWidth="true" width="1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124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38</v>
      </c>
      <c r="I2" t="s" s="0">
        <v>34</v>
      </c>
      <c r="J2" t="s" s="0">
        <v>39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K2" sqref="K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151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38</v>
      </c>
      <c r="I2" t="s" s="0">
        <v>34</v>
      </c>
      <c r="J2" t="s" s="0">
        <v>43</v>
      </c>
      <c r="K2" s="7" t="s">
        <v>93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152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38</v>
      </c>
      <c r="I2" t="s" s="0">
        <v>44</v>
      </c>
      <c r="J2" t="s" s="0">
        <v>43</v>
      </c>
      <c r="K2" s="7" t="s">
        <v>97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154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33</v>
      </c>
      <c r="I2" t="s" s="0">
        <v>44</v>
      </c>
      <c r="J2" t="s" s="0">
        <v>43</v>
      </c>
      <c r="K2" s="7" t="s">
        <v>102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workbookViewId="0">
      <selection activeCell="M2" sqref="M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153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33</v>
      </c>
      <c r="I2" t="s" s="0">
        <v>34</v>
      </c>
      <c r="J2" t="s" s="0">
        <v>43</v>
      </c>
      <c r="K2" s="7" t="s">
        <v>100</v>
      </c>
      <c r="L2" s="7" t="str">
        <f ca="1">TEXT(TODAY()+1,"mm/dd/yyyy")</f>
        <v>01/01/2026</v>
      </c>
      <c r="M2" s="16">
        <v>12</v>
      </c>
      <c r="N2" s="17">
        <v>2</v>
      </c>
      <c r="O2" s="18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,****7541,
Billing Address:,	1645 FOX ST,
Concover, New York NY 28613,
Country:,	UNITED STATES,
Account Type:,	Personal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126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35</v>
      </c>
      <c r="I2" t="s" s="0">
        <v>34</v>
      </c>
      <c r="J2" t="s" s="0">
        <v>43</v>
      </c>
      <c r="K2" s="7" t="s">
        <v>45</v>
      </c>
      <c r="L2" s="7" t="str">
        <f ca="1">TEXT(TODAY(),"mm/dd/yyyy")</f>
        <v>12/31/2025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125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35</v>
      </c>
      <c r="I2" t="s" s="0">
        <v>34</v>
      </c>
      <c r="J2" t="s" s="0">
        <v>43</v>
      </c>
      <c r="K2" s="7" t="s">
        <v>46</v>
      </c>
      <c r="L2" s="7" t="str">
        <f ca="1">TEXT(TODAY()+1,"mm/dd/yyyy")</f>
        <v>01/01/2026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tabSelected="1" workbookViewId="0">
      <selection activeCell="N2" sqref="N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32</v>
      </c>
      <c r="H1" t="s" s="0">
        <v>31</v>
      </c>
      <c r="I1" t="s" s="0">
        <v>30</v>
      </c>
      <c r="J1" t="s" s="0">
        <v>37</v>
      </c>
      <c r="K1" s="4" t="s">
        <v>40</v>
      </c>
      <c r="L1" s="4" t="s">
        <v>1</v>
      </c>
      <c r="M1" s="4" t="s">
        <v>4</v>
      </c>
      <c r="N1" s="4" t="s">
        <v>41</v>
      </c>
      <c r="O1" s="4" t="s">
        <v>17</v>
      </c>
      <c r="P1" s="4" t="s">
        <v>42</v>
      </c>
    </row>
    <row ht="409.5" r="2" spans="1:16" x14ac:dyDescent="0.35">
      <c r="A2" t="s" s="0">
        <v>10</v>
      </c>
      <c r="B2" t="s" s="0">
        <v>143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35</v>
      </c>
      <c r="I2" t="s" s="0">
        <v>34</v>
      </c>
      <c r="J2" t="s" s="0">
        <v>43</v>
      </c>
      <c r="K2" s="7" t="s">
        <v>104</v>
      </c>
      <c r="L2" s="7" t="str">
        <f ca="1">TEXT(TODAY()+1,"mm/dd/yyyy")</f>
        <v>01/01/2026</v>
      </c>
      <c r="M2" s="16">
        <v>12</v>
      </c>
      <c r="N2" s="17">
        <v>2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2025-12-31T11:00:59Z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