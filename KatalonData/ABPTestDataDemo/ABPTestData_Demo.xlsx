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470258\Documents\VPS-Katalon\KatalonData\ABPTestDataDemo\"/>
    </mc:Choice>
  </mc:AlternateContent>
  <xr:revisionPtr revIDLastSave="0" documentId="13_ncr:1_{543CDB0D-D85A-454C-99D7-D6A0AAB64DAB}" xr6:coauthVersionLast="47" xr6:coauthVersionMax="47" xr10:uidLastSave="{00000000-0000-0000-0000-000000000000}"/>
  <bookViews>
    <workbookView xWindow="-110" yWindow="-110" windowWidth="19420" windowHeight="11500" firstSheet="13" activeTab="14" xr2:uid="{1DD8A320-6572-432F-97F4-1D86BCB29215}"/>
  </bookViews>
  <sheets>
    <sheet name="UIVerification-RegisterPayPage" sheetId="1" r:id="rId1"/>
    <sheet name="UiVerificationForAccountProfile" sheetId="2" r:id="rId2"/>
    <sheet name="UiVerificationForAddUser" sheetId="3" r:id="rId3"/>
    <sheet name="UIVerificationPendingBillsPage" sheetId="4" r:id="rId4"/>
    <sheet name="UiVerificationSPAP" sheetId="5" r:id="rId5"/>
    <sheet name="UiVerificationSPBillsLabel" sheetId="6" r:id="rId6"/>
    <sheet name="UiVerificationSPInstallmentAnua" sheetId="7" r:id="rId7"/>
    <sheet name="UiVerificationSPIPDaily" sheetId="8" r:id="rId8"/>
    <sheet name="UiVerificationSPInstallmentQuar" sheetId="9" r:id="rId9"/>
    <sheet name="UiVerificationSPIPDeferred" sheetId="10" r:id="rId10"/>
    <sheet name="UiVerificationSPRecDaily" sheetId="11" r:id="rId11"/>
    <sheet name="UiVerificationSPRecDeferred" sheetId="12" r:id="rId12"/>
    <sheet name="CreateDeletePayer" sheetId="13" r:id="rId13"/>
    <sheet name="CreateDeleteProfileOwner" sheetId="14" r:id="rId14"/>
    <sheet name="VerifyPasswordPolicy" sheetId="15" r:id="rId15"/>
    <sheet name="VerifyUsernameLength" sheetId="1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2" l="1"/>
  <c r="K2" i="12" s="1"/>
  <c r="G2" i="11"/>
  <c r="K2" i="11" s="1"/>
  <c r="J2" i="12" l="1"/>
  <c r="J2" i="11"/>
  <c r="F2" i="10"/>
  <c r="J2" i="10" s="1"/>
  <c r="I2" i="10" l="1"/>
  <c r="G2" i="9"/>
  <c r="G2" i="8" l="1"/>
  <c r="K2" i="8" s="1"/>
  <c r="J2" i="8" l="1"/>
  <c r="G2" i="7"/>
</calcChain>
</file>

<file path=xl/sharedStrings.xml><?xml version="1.0" encoding="utf-8"?>
<sst xmlns="http://schemas.openxmlformats.org/spreadsheetml/2006/main" count="249" uniqueCount="79">
  <si>
    <t>Result</t>
  </si>
  <si>
    <t>Date</t>
  </si>
  <si>
    <t>Notes</t>
  </si>
  <si>
    <t>Execute</t>
  </si>
  <si>
    <t>BillType</t>
  </si>
  <si>
    <t>LookupField1</t>
  </si>
  <si>
    <t>LookupField2</t>
  </si>
  <si>
    <t>LookupField3</t>
  </si>
  <si>
    <t>VTList</t>
  </si>
  <si>
    <t>FirstName</t>
  </si>
  <si>
    <t>LastName</t>
  </si>
  <si>
    <t>CompanyName</t>
  </si>
  <si>
    <t>AddressLine1</t>
  </si>
  <si>
    <t>Zip</t>
  </si>
  <si>
    <t>City</t>
  </si>
  <si>
    <t>State</t>
  </si>
  <si>
    <t>Y</t>
  </si>
  <si>
    <t>AutoABPDemoBBG6207</t>
  </si>
  <si>
    <t>Mat</t>
  </si>
  <si>
    <t>Wade</t>
  </si>
  <si>
    <t>2585 long street</t>
  </si>
  <si>
    <t>Arlington</t>
  </si>
  <si>
    <t>Email</t>
  </si>
  <si>
    <t>UserName</t>
  </si>
  <si>
    <t>Pass</t>
  </si>
  <si>
    <t>t476640@deluxe.com</t>
  </si>
  <si>
    <t>Account Profile,
* Indicates required field,
Company Name:,	
First Name:,	
Last Name:,	
Address Line 1: *,	
Address Line 2: ,  	
Country: *,	
ZIP: *,	
City: *	,
State : *,</t>
  </si>
  <si>
    <t>Vaddahun Corp</t>
  </si>
  <si>
    <t>MCGALLIARD</t>
  </si>
  <si>
    <t>1645 FOX ST</t>
  </si>
  <si>
    <t>Concover</t>
  </si>
  <si>
    <t>Bharat</t>
  </si>
  <si>
    <t>TABATHA</t>
  </si>
  <si>
    <t>DULIP</t>
  </si>
  <si>
    <t>EKANAYAKE</t>
  </si>
  <si>
    <t>708 36TH AVE NW</t>
  </si>
  <si>
    <t>Hickory</t>
  </si>
  <si>
    <t>AutoABPUser6210</t>
  </si>
  <si>
    <t>Available Pending Bills,* Indicates required field,
Step 1: Pay Your Pending Bills(s) By Checking One or More Checkboxes in the "Check to Pay" Column Below.,One bill found.,Display,
results,,Check to Pay,Pending Bills,Due Date,Pay Date,Amount Due,Amount to Pay,Schedule to Pay,Check to Pay,AutoABPDemoBBGSCF6210,UDF1:*,UDF2:*,UDF3:,UDF4:,	
1 bills selected for payment, totaling</t>
  </si>
  <si>
    <t xml:space="preserve">Step 4: Review Payment Plan,
Amount due will be paid 3 calendar days before the Due Date,
Step 5: Review Your Convenience Fees,
Individual Convenience Fee Amount:,	
Total Convenience Fees Paid:,	
Total Paid under this plan:	</t>
  </si>
  <si>
    <t>Komal</t>
  </si>
  <si>
    <t>Step 1: Review bill to pay,
Pending Bills,Due Date,Date Submitted,Date Modified,Amount Due,Amount to Pay,Balance Due,
AutoABPDemoBBGDCF6211,	 	 	
UDF1:*,	
UDF2:,	
UDF3:,
UDF4:</t>
  </si>
  <si>
    <t>VTList1</t>
  </si>
  <si>
    <t xml:space="preserve">Select Payment Plan Frequency,
Annual,
Select the date you wish to submit your first payment and it will recur every year on that day,
Divide your payment plan by...,
Number of Payments:,Divide the Balance Due into,
Individual Amount:,Repeat this amount until the Balance Due is achieved: $,1 Annual payment of $12.00 on </t>
  </si>
  <si>
    <t>Amount</t>
  </si>
  <si>
    <t>CFAmount</t>
  </si>
  <si>
    <t>ReviewConvinienceFee</t>
  </si>
  <si>
    <t>Select Payment Plan Frequency,
Daily,
Select the date you wish to submit your first payment and it will recur every day after,
Divide your payment plan by...,
Number of Payments:,Divide the Balance Due into ,
Individual Amount:,Repeat this amount until the Balance Due is achieved: $, 
Step 4: Review Payment Plan,
1 Daily payment of $</t>
  </si>
  <si>
    <t xml:space="preserve">Select Payment Plan Frequency,
Quarterly,
Select the date you wish to submit your first payment and it will recur every three months on that day,
Note: Any payments associated with the payment plan that are scheduled on a date that does not exist (eg. February 30th, April 31st), will be processed on the first day of the following month.,
Divide your payment plan by...,
Number of Payments:,Divide the Balance Due into, 
Individual Amount:,	Repeat this amount until the Balance Due is achieved: $ ,
Step 4: Review Payment Plan
1 Quarterly payment of $12.00 on </t>
  </si>
  <si>
    <t>Select the date you wish to submit your payment,Divide your payment plan by...,
 Number of Payments:,	Divide the Balance Due into 
,payments,
 Individual Amount:,	Repeat this amount until the Balance Due is achieved: $, 
12.00,
Step 4: Review Payment Plan,
1 Deferred payment of $</t>
  </si>
  <si>
    <t>Recurring Fixed Amount Payment - The same amount is paid at a determined frequency.,
 Automatic Payment - Bills are automatically paid 3 calendar days before the Due Date.,Select Payment Plan Frequency,
Daily,
Select the date you wish to submit your first payment and it will recur every day after,
Step 4: Review Payment Plan,
Daily payments of $</t>
  </si>
  <si>
    <t>Select Payment Plan Frequency,
Deferred,
Select the date you wish to submit your payment,
Step 4: Review Payment Plan,
1 Deferred payment of $</t>
  </si>
  <si>
    <t>Password</t>
  </si>
  <si>
    <t>Komalmis</t>
  </si>
  <si>
    <t>Komalmish@</t>
  </si>
  <si>
    <t>Password must contain at least one alpha character and one numeric character.</t>
  </si>
  <si>
    <t>Create Account Profile,
* Indicates required field,
Bill Records Found,
Bill Name,Due Date,Amount Due,
AutoABPDemoBBG6207,07/10/2027,$11.00,
Username:,
Username cannot contain any spaces or special characters.,
Password:,
Password must be at least 8 characters long and no more than 16 characters long. Password must contain at least one alpha character and one numeric character.,
Confirm Password:,
E-mail Address:,
Confirm E-mail Address:,	
Email Delivery Options:,Check here to receive email from this site,
Text Receipt Phone Number:,	
Text Delivery Options:,Check here to receive text messages from this site. Standard carrier charges apply.,
Security Question: ,
Security Question Answer: ,
Security Question:,Security Question Answer:,
Security Question:,Security Question Answer:,First Name:,	
Last Name:,	
Company Name:,Address Line 1:,
Address Line 2:,   Country:,	
ZIP:,	
City:,	
State :</t>
  </si>
  <si>
    <t>* Indicates required field,
Role: *,	
 What's this?,
First Name: *,	
Last Name: *,	
Username: *,	
Password: *,	
Password must be at least 8 characters long and no more than 16 characters long. Password must contain at least one alpha character and one numeric character.,
Confirm Password: *,
E-mail Address: *,	
Confirm E-mail Address: *,	
Email Delivery Options:,Check here to receive email from this site,
Text Receipt Phone Number:,	
Text Delivery Options:</t>
  </si>
  <si>
    <t>Thu Jul 30 15:18:49 IST 2026</t>
  </si>
  <si>
    <t>Thu Aug 13 22:00:25 IST 2026</t>
  </si>
  <si>
    <t>Komal-</t>
  </si>
  <si>
    <t>Username cannot contain any spaces or special characters.</t>
  </si>
  <si>
    <t>Password must be at least 8 characters long and no more than 32 characters long.,Password must contain at least one alpha character and one numeric character.,The password must also contain at least one special character.</t>
  </si>
  <si>
    <t>Password must contain at least one alpha character and one numeric character.,The password must also contain at least one special character.</t>
  </si>
  <si>
    <t>Thu Oct 08 01:52:22 IST 2026</t>
  </si>
  <si>
    <t>Thu Oct 08 01:52:35 IST 2026</t>
  </si>
  <si>
    <t>Thu Oct 08 01:53:02 IST 2026</t>
  </si>
  <si>
    <t>Thu Oct 08 01:54:27 IST 2026</t>
  </si>
  <si>
    <t>Thu Oct 08 01:55:04 IST 2026</t>
  </si>
  <si>
    <t>Thu Oct 08 02:15:49 IST 2026</t>
  </si>
  <si>
    <t>Mon Oct 12 14:13:40 IST 2026</t>
  </si>
  <si>
    <t>Mon Oct 12 14:15:10 IST 2026</t>
  </si>
  <si>
    <t>Mon Oct 12 14:18:19 IST 2026</t>
  </si>
  <si>
    <t>Mon Oct 12 14:20:44 IST 2026</t>
  </si>
  <si>
    <t>Mon Oct 12 14:58:29 IST 2026</t>
  </si>
  <si>
    <t>Mon Oct 12 15:00:18 IST 2026</t>
  </si>
  <si>
    <t>Mon Oct 12 15:10:44 IST 2026</t>
  </si>
  <si>
    <t>Mon Oct 12 15:11:22 IST 2026</t>
  </si>
  <si>
    <t>Mon Oct 12 15:11:43 IST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</si>
</sst>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0"/>
      <color theme="1"/>
      <name val="Century Gothic"/>
      <family val="2"/>
    </font>
    <font>
      <sz val="10"/>
      <color rgb="FF2A00FF"/>
      <name val="Consolas"/>
      <family val="3"/>
    </font>
  </fonts>
  <fills count="2">
    <fill>
      <patternFill patternType="none"/>
    </fill>
    <fill>
      <patternFill patternType="gray125"/>
    </fill>
  </fills>
  <borders count="4">
    <border>
      <left/>
      <right/>
      <top/>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49" fontId="0" fillId="0" borderId="1" xfId="0" applyNumberFormat="1" applyBorder="1" applyAlignment="1">
      <alignment wrapText="1"/>
    </xf>
    <xf numFmtId="49" fontId="0" fillId="0" borderId="2" xfId="0" applyNumberFormat="1" applyBorder="1" applyAlignment="1">
      <alignment wrapText="1"/>
    </xf>
    <xf numFmtId="0" fontId="0" fillId="0" borderId="2" xfId="0" applyBorder="1"/>
    <xf numFmtId="0" fontId="1" fillId="0" borderId="2" xfId="0" applyFont="1" applyBorder="1" applyAlignment="1">
      <alignment vertical="center"/>
    </xf>
    <xf numFmtId="0" fontId="0" fillId="0" borderId="2" xfId="0" applyBorder="1" applyAlignment="1">
      <alignment wrapText="1"/>
    </xf>
    <xf numFmtId="0" fontId="0" fillId="0" borderId="2" xfId="0" applyBorder="1" applyAlignment="1">
      <alignment vertical="center"/>
    </xf>
    <xf numFmtId="0" fontId="0" fillId="0" borderId="2" xfId="0" applyBorder="1" applyAlignment="1">
      <alignment vertical="center" wrapText="1"/>
    </xf>
    <xf numFmtId="0" fontId="0" fillId="0" borderId="2" xfId="0" applyBorder="1" applyAlignment="1">
      <alignment vertical="top"/>
    </xf>
    <xf numFmtId="0" fontId="0" fillId="0" borderId="2" xfId="0" applyBorder="1" applyAlignment="1">
      <alignment vertical="top" wrapText="1"/>
    </xf>
    <xf numFmtId="49" fontId="0" fillId="0" borderId="2" xfId="0" applyNumberFormat="1" applyBorder="1" applyAlignment="1">
      <alignment vertical="top" wrapText="1"/>
    </xf>
    <xf numFmtId="0" fontId="0" fillId="0" borderId="0" xfId="0" applyAlignment="1">
      <alignment vertical="top"/>
    </xf>
    <xf numFmtId="0" fontId="1" fillId="0" borderId="2" xfId="0" applyFont="1" applyBorder="1" applyAlignment="1">
      <alignment vertical="top"/>
    </xf>
    <xf numFmtId="0" fontId="0" fillId="0" borderId="2" xfId="0" applyBorder="1" applyAlignment="1">
      <alignment horizontal="center" vertical="top" wrapText="1"/>
    </xf>
    <xf numFmtId="49" fontId="0" fillId="0" borderId="3" xfId="0" applyNumberFormat="1" applyBorder="1" applyAlignment="1">
      <alignment wrapText="1"/>
    </xf>
    <xf numFmtId="0" fontId="0" fillId="0" borderId="0" xfId="0" applyAlignment="1">
      <alignment vertical="top" wrapText="1"/>
    </xf>
    <xf numFmtId="164" fontId="0" fillId="0" borderId="0" xfId="0" applyNumberFormat="1" applyAlignment="1">
      <alignment vertical="top" wrapText="1"/>
    </xf>
    <xf numFmtId="2" fontId="0" fillId="0" borderId="0" xfId="0" applyNumberFormat="1" applyAlignment="1">
      <alignment vertical="top" wrapText="1"/>
    </xf>
    <xf numFmtId="0" fontId="0" fillId="0" borderId="0" xfId="0" applyAlignment="1">
      <alignment horizontal="center" vertical="top" wrapText="1"/>
    </xf>
    <xf numFmtId="0" fontId="0" fillId="0" borderId="0" xfId="0" applyAlignment="1">
      <alignment wrapText="1"/>
    </xf>
    <xf numFmtId="49" fontId="0" fillId="0" borderId="3"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8B245-E046-4A67-93F3-02FD56749F14}">
  <dimension ref="A1:P2"/>
  <sheetViews>
    <sheetView workbookViewId="0">
      <selection activeCell="L5" sqref="L5"/>
    </sheetView>
  </sheetViews>
  <sheetFormatPr defaultRowHeight="12.5" x14ac:dyDescent="0.25"/>
  <cols>
    <col min="5" max="5" width="19.26953125" customWidth="1" collapsed="1"/>
  </cols>
  <sheetData>
    <row r="1" spans="1:16" x14ac:dyDescent="0.25">
      <c r="A1" s="1" t="s">
        <v>0</v>
      </c>
      <c r="B1" s="2" t="s">
        <v>1</v>
      </c>
      <c r="C1" s="2" t="s">
        <v>2</v>
      </c>
      <c r="D1" s="2" t="s">
        <v>3</v>
      </c>
      <c r="E1" s="3" t="s">
        <v>4</v>
      </c>
      <c r="F1" s="3" t="s">
        <v>5</v>
      </c>
      <c r="G1" s="3" t="s">
        <v>6</v>
      </c>
      <c r="H1" s="3" t="s">
        <v>7</v>
      </c>
      <c r="I1" s="3" t="s">
        <v>8</v>
      </c>
      <c r="J1" s="3" t="s">
        <v>9</v>
      </c>
      <c r="K1" s="3" t="s">
        <v>10</v>
      </c>
      <c r="L1" s="3" t="s">
        <v>11</v>
      </c>
      <c r="M1" s="3" t="s">
        <v>12</v>
      </c>
      <c r="N1" s="3" t="s">
        <v>13</v>
      </c>
      <c r="O1" s="3" t="s">
        <v>14</v>
      </c>
      <c r="P1" s="3" t="s">
        <v>15</v>
      </c>
    </row>
    <row r="2" spans="1:16" ht="409.5" x14ac:dyDescent="0.25">
      <c r="A2" s="3"/>
      <c r="B2" s="3"/>
      <c r="C2" s="3"/>
      <c r="D2" s="3" t="s">
        <v>16</v>
      </c>
      <c r="E2" s="4" t="s">
        <v>17</v>
      </c>
      <c r="F2" s="4">
        <v>398900</v>
      </c>
      <c r="G2" s="4">
        <v>398901</v>
      </c>
      <c r="H2" s="4">
        <v>398902</v>
      </c>
      <c r="I2" s="5" t="s">
        <v>56</v>
      </c>
      <c r="J2" s="6" t="s">
        <v>18</v>
      </c>
      <c r="K2" s="6" t="s">
        <v>19</v>
      </c>
      <c r="L2" s="6"/>
      <c r="M2" s="7" t="s">
        <v>20</v>
      </c>
      <c r="N2" s="6">
        <v>22201</v>
      </c>
      <c r="O2" s="6" t="s">
        <v>21</v>
      </c>
      <c r="P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9F228-E375-43FE-9C6D-51EFD19351C6}">
  <dimension ref="A1:M2"/>
  <sheetViews>
    <sheetView workbookViewId="0">
      <selection activeCell="J2" sqref="J2"/>
    </sheetView>
  </sheetViews>
  <sheetFormatPr defaultColWidth="9" defaultRowHeight="12.5" x14ac:dyDescent="0.25"/>
  <cols>
    <col min="2" max="2" width="25.1796875" bestFit="1" customWidth="1" collapsed="1"/>
    <col min="7" max="7" width="10.08984375" customWidth="1" collapsed="1"/>
    <col min="8" max="8" width="16.90625" customWidth="1" collapsed="1"/>
    <col min="9" max="9" width="11.81640625" customWidth="1" collapsed="1"/>
    <col min="10" max="10" width="15.1796875" customWidth="1" collapsed="1"/>
    <col min="11" max="11" width="12.08984375" customWidth="1" collapsed="1"/>
  </cols>
  <sheetData>
    <row r="1" spans="1:13" s="11" customFormat="1" ht="25" x14ac:dyDescent="0.25">
      <c r="A1" s="10" t="s">
        <v>0</v>
      </c>
      <c r="B1" s="10" t="s">
        <v>1</v>
      </c>
      <c r="C1" s="10" t="s">
        <v>2</v>
      </c>
      <c r="D1" s="10" t="s">
        <v>3</v>
      </c>
      <c r="E1" s="10" t="s">
        <v>22</v>
      </c>
      <c r="F1" s="10" t="s">
        <v>8</v>
      </c>
      <c r="G1" s="10" t="s">
        <v>23</v>
      </c>
      <c r="H1" s="10" t="s">
        <v>11</v>
      </c>
      <c r="I1" s="10" t="s">
        <v>9</v>
      </c>
      <c r="J1" s="10" t="s">
        <v>10</v>
      </c>
      <c r="K1" s="10" t="s">
        <v>12</v>
      </c>
      <c r="L1" s="10" t="s">
        <v>14</v>
      </c>
      <c r="M1" s="10" t="s">
        <v>13</v>
      </c>
    </row>
    <row r="2" spans="1:13" s="11" customFormat="1" ht="300" x14ac:dyDescent="0.25">
      <c r="A2" t="s">
        <v>24</v>
      </c>
      <c r="B2" t="s">
        <v>64</v>
      </c>
      <c r="C2" s="8"/>
      <c r="D2" s="8" t="s">
        <v>16</v>
      </c>
      <c r="E2" s="8" t="s">
        <v>25</v>
      </c>
      <c r="F2" s="9" t="s">
        <v>26</v>
      </c>
      <c r="G2" s="8" t="s">
        <v>31</v>
      </c>
      <c r="H2" s="9" t="s">
        <v>27</v>
      </c>
      <c r="I2" s="9" t="s">
        <v>32</v>
      </c>
      <c r="J2" s="8" t="s">
        <v>28</v>
      </c>
      <c r="K2" s="9" t="s">
        <v>29</v>
      </c>
      <c r="L2" s="8" t="s">
        <v>30</v>
      </c>
      <c r="M2" s="8">
        <v>28613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BF61-6096-4C4B-8759-3B5CCAB6A813}">
  <dimension ref="A1:M2"/>
  <sheetViews>
    <sheetView workbookViewId="0">
      <selection activeCell="E2" sqref="E2"/>
    </sheetView>
  </sheetViews>
  <sheetFormatPr defaultColWidth="16.36328125" defaultRowHeight="12.5" x14ac:dyDescent="0.25"/>
  <cols>
    <col min="1" max="1" width="7.81640625" style="11" customWidth="1" collapsed="1"/>
    <col min="2" max="2" width="25.1796875" style="11" bestFit="1" customWidth="1" collapsed="1"/>
    <col min="3" max="3" width="8.08984375" style="11" customWidth="1" collapsed="1"/>
    <col min="4" max="4" width="8.7265625" style="11" customWidth="1" collapsed="1"/>
    <col min="5" max="11" width="16.36328125" style="11" collapsed="1"/>
    <col min="12" max="12" width="10.1796875" style="11" customWidth="1" collapsed="1"/>
    <col min="13" max="13" width="9.54296875" style="11" customWidth="1" collapsed="1"/>
    <col min="14" max="16384" width="16.36328125" style="11" collapsed="1"/>
  </cols>
  <sheetData>
    <row r="1" spans="1:13" x14ac:dyDescent="0.25">
      <c r="A1" s="10" t="s">
        <v>0</v>
      </c>
      <c r="B1" s="10" t="s">
        <v>1</v>
      </c>
      <c r="C1" s="10" t="s">
        <v>2</v>
      </c>
      <c r="D1" s="10" t="s">
        <v>3</v>
      </c>
      <c r="E1" s="10" t="s">
        <v>22</v>
      </c>
      <c r="F1" s="10" t="s">
        <v>8</v>
      </c>
      <c r="G1" s="10" t="s">
        <v>23</v>
      </c>
      <c r="H1" s="10" t="s">
        <v>11</v>
      </c>
      <c r="I1" s="10" t="s">
        <v>9</v>
      </c>
      <c r="J1" s="10" t="s">
        <v>10</v>
      </c>
      <c r="K1" s="10" t="s">
        <v>12</v>
      </c>
      <c r="L1" s="10" t="s">
        <v>14</v>
      </c>
      <c r="M1" s="10" t="s">
        <v>13</v>
      </c>
    </row>
    <row r="2" spans="1:13" ht="409.5" x14ac:dyDescent="0.25">
      <c r="A2" s="11" t="s">
        <v>24</v>
      </c>
      <c r="B2" s="11" t="s">
        <v>65</v>
      </c>
      <c r="C2" s="8"/>
      <c r="D2" s="8" t="s">
        <v>16</v>
      </c>
      <c r="E2" s="8" t="s">
        <v>25</v>
      </c>
      <c r="F2" s="9" t="s">
        <v>57</v>
      </c>
      <c r="G2" s="8" t="s">
        <v>31</v>
      </c>
      <c r="H2" s="9" t="s">
        <v>27</v>
      </c>
      <c r="I2" s="8" t="s">
        <v>33</v>
      </c>
      <c r="J2" s="8" t="s">
        <v>34</v>
      </c>
      <c r="K2" s="9" t="s">
        <v>35</v>
      </c>
      <c r="L2" s="8" t="s">
        <v>36</v>
      </c>
      <c r="M2" s="8">
        <v>28601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7E2DC-299B-4C9E-AAEE-A06E1A66E8DC}">
  <dimension ref="A1:I2"/>
  <sheetViews>
    <sheetView workbookViewId="0">
      <selection activeCell="I2" sqref="I2"/>
    </sheetView>
  </sheetViews>
  <sheetFormatPr defaultRowHeight="12.5" x14ac:dyDescent="0.25"/>
  <cols>
    <col min="1" max="1" width="6" style="8" bestFit="1" customWidth="1" collapsed="1"/>
    <col min="2" max="2" width="25.1796875" style="8" bestFit="1" customWidth="1" collapsed="1"/>
    <col min="3" max="3" width="5.90625" style="8" bestFit="1" customWidth="1" collapsed="1"/>
    <col min="4" max="4" width="8" style="8" bestFit="1" customWidth="1" collapsed="1"/>
    <col min="5" max="5" width="17" style="8" bestFit="1" customWidth="1" collapsed="1"/>
    <col min="6" max="8" width="12.36328125" style="8" bestFit="1" customWidth="1" collapsed="1"/>
    <col min="9" max="9" width="14" style="8" bestFit="1" customWidth="1" collapsed="1"/>
    <col min="10" max="16384" width="8.7265625" style="8" collapsed="1"/>
  </cols>
  <sheetData>
    <row r="1" spans="1:9" x14ac:dyDescent="0.25">
      <c r="A1" s="10" t="s">
        <v>0</v>
      </c>
      <c r="B1" s="10" t="s">
        <v>1</v>
      </c>
      <c r="C1" s="10" t="s">
        <v>2</v>
      </c>
      <c r="D1" s="10" t="s">
        <v>3</v>
      </c>
      <c r="E1" s="8" t="s">
        <v>4</v>
      </c>
      <c r="F1" s="8" t="s">
        <v>5</v>
      </c>
      <c r="G1" s="8" t="s">
        <v>6</v>
      </c>
      <c r="H1" s="8" t="s">
        <v>7</v>
      </c>
      <c r="I1" s="8" t="s">
        <v>8</v>
      </c>
    </row>
    <row r="2" spans="1:9" ht="409.5" x14ac:dyDescent="0.25">
      <c r="A2" s="8" t="s">
        <v>24</v>
      </c>
      <c r="B2" s="8" t="s">
        <v>66</v>
      </c>
      <c r="D2" s="8" t="s">
        <v>16</v>
      </c>
      <c r="E2" s="12" t="s">
        <v>37</v>
      </c>
      <c r="F2" s="12">
        <v>20262709</v>
      </c>
      <c r="G2" s="12">
        <v>800009</v>
      </c>
      <c r="H2" s="12">
        <v>8000010</v>
      </c>
      <c r="I2" s="9"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5FC7-4338-421B-90B0-332B14A8ED22}">
  <dimension ref="A1:F2"/>
  <sheetViews>
    <sheetView workbookViewId="0">
      <selection activeCell="F15" sqref="F15"/>
    </sheetView>
  </sheetViews>
  <sheetFormatPr defaultRowHeight="12.5" x14ac:dyDescent="0.25"/>
  <cols>
    <col min="6" max="6" width="50.453125" customWidth="1" collapsed="1"/>
  </cols>
  <sheetData>
    <row r="1" spans="1:6" ht="25" customHeight="1" x14ac:dyDescent="0.25">
      <c r="A1" s="2" t="s">
        <v>0</v>
      </c>
      <c r="B1" s="2" t="s">
        <v>1</v>
      </c>
      <c r="C1" s="2" t="s">
        <v>2</v>
      </c>
      <c r="D1" s="2" t="s">
        <v>3</v>
      </c>
      <c r="E1" s="2" t="s">
        <v>22</v>
      </c>
      <c r="F1" s="2" t="s">
        <v>8</v>
      </c>
    </row>
    <row r="2" spans="1:6" ht="25" customHeight="1" x14ac:dyDescent="0.25">
      <c r="A2" t="s">
        <v>24</v>
      </c>
      <c r="B2" t="s">
        <v>67</v>
      </c>
      <c r="C2" s="8"/>
      <c r="D2" s="8" t="s">
        <v>16</v>
      </c>
      <c r="E2" s="3" t="s">
        <v>25</v>
      </c>
      <c r="F2" s="9" t="s">
        <v>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C3152-3D05-4133-8CE0-A9DB8774650E}">
  <dimension ref="A1:G2"/>
  <sheetViews>
    <sheetView workbookViewId="0">
      <selection activeCell="E2" sqref="E2"/>
    </sheetView>
  </sheetViews>
  <sheetFormatPr defaultColWidth="20.7265625" defaultRowHeight="12.5" x14ac:dyDescent="0.25"/>
  <cols>
    <col min="1" max="1" width="11.08984375" style="11" customWidth="1" collapsed="1"/>
    <col min="2" max="16384" width="20.7265625" style="11" collapsed="1"/>
  </cols>
  <sheetData>
    <row r="1" spans="1:7" x14ac:dyDescent="0.25">
      <c r="A1" s="10" t="s">
        <v>0</v>
      </c>
      <c r="B1" s="10" t="s">
        <v>1</v>
      </c>
      <c r="C1" s="10" t="s">
        <v>2</v>
      </c>
      <c r="D1" s="10" t="s">
        <v>3</v>
      </c>
      <c r="E1" s="10" t="s">
        <v>22</v>
      </c>
      <c r="F1" s="10" t="s">
        <v>8</v>
      </c>
      <c r="G1" s="10" t="s">
        <v>23</v>
      </c>
    </row>
    <row r="2" spans="1:7" ht="175.5" customHeight="1" x14ac:dyDescent="0.25">
      <c r="A2" s="11" t="s">
        <v>24</v>
      </c>
      <c r="B2" s="11" t="s">
        <v>68</v>
      </c>
      <c r="C2" s="8"/>
      <c r="D2" s="8" t="s">
        <v>16</v>
      </c>
      <c r="E2" s="8" t="s">
        <v>25</v>
      </c>
      <c r="F2" s="9" t="s">
        <v>41</v>
      </c>
      <c r="G2" s="8" t="s">
        <v>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DF5D-8757-4C01-B84C-7F83379400A3}">
  <dimension ref="A1:G2"/>
  <sheetViews>
    <sheetView workbookViewId="0">
      <selection activeCell="F6" sqref="F6"/>
    </sheetView>
  </sheetViews>
  <sheetFormatPr defaultRowHeight="12.5" x14ac:dyDescent="0.25"/>
  <cols>
    <col min="6" max="6" width="24.7265625" customWidth="1" collapsed="1"/>
    <col min="7" max="7" width="23.7265625" customWidth="1" collapsed="1"/>
  </cols>
  <sheetData>
    <row r="1" spans="1:7" s="3" customFormat="1" ht="24.5" customHeight="1" x14ac:dyDescent="0.25">
      <c r="A1" s="2" t="s">
        <v>0</v>
      </c>
      <c r="B1" s="2" t="s">
        <v>1</v>
      </c>
      <c r="C1" s="2" t="s">
        <v>2</v>
      </c>
      <c r="D1" s="2" t="s">
        <v>3</v>
      </c>
      <c r="E1" s="2" t="s">
        <v>22</v>
      </c>
      <c r="F1" s="2" t="s">
        <v>42</v>
      </c>
      <c r="G1" s="2" t="s">
        <v>8</v>
      </c>
    </row>
    <row r="2" spans="1:7" s="3" customFormat="1" ht="244.5" customHeight="1" x14ac:dyDescent="0.25">
      <c r="A2" t="s">
        <v>24</v>
      </c>
      <c r="B2" t="s">
        <v>70</v>
      </c>
      <c r="C2" s="8"/>
      <c r="D2" s="8" t="s">
        <v>16</v>
      </c>
      <c r="E2" s="3" t="s">
        <v>25</v>
      </c>
      <c r="F2" s="9" t="s">
        <v>43</v>
      </c>
      <c r="G2" s="13" t="str">
        <f ca="1">F2&amp;TEXT(TODAY()+1,"mm/dd/yyyy")</f>
        <v>Select Payment Plan Frequency,
Annual,
Select the date you wish to submit your first payment and it will recur every year on that day,
Divide your payment plan by...,
Number of Payments:,Divide the Balance Due into,
Individual Amount:,Repeat this amount until the Balance Due is achieved: $,1 Annual payment of $12.00 on 10/13/2026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F78E3-BB7D-484A-B6B8-3C13C898A2BA}">
  <dimension ref="A1:K2"/>
  <sheetViews>
    <sheetView workbookViewId="0">
      <selection activeCell="J2" sqref="J2"/>
    </sheetView>
  </sheetViews>
  <sheetFormatPr defaultRowHeight="12.5" x14ac:dyDescent="0.25"/>
  <cols>
    <col min="6" max="6" width="30.36328125" customWidth="1" collapsed="1"/>
    <col min="10" max="10" width="34" customWidth="1" collapsed="1"/>
    <col min="11" max="11" width="23.1796875" customWidth="1" collapsed="1"/>
  </cols>
  <sheetData>
    <row r="1" spans="1:11" ht="37.5" x14ac:dyDescent="0.25">
      <c r="A1" s="2" t="s">
        <v>0</v>
      </c>
      <c r="B1" s="2" t="s">
        <v>1</v>
      </c>
      <c r="C1" s="2" t="s">
        <v>2</v>
      </c>
      <c r="D1" s="2" t="s">
        <v>3</v>
      </c>
      <c r="E1" s="2" t="s">
        <v>22</v>
      </c>
      <c r="F1" s="14" t="s">
        <v>42</v>
      </c>
      <c r="G1" s="14" t="s">
        <v>1</v>
      </c>
      <c r="H1" s="14" t="s">
        <v>44</v>
      </c>
      <c r="I1" s="14" t="s">
        <v>45</v>
      </c>
      <c r="J1" s="14" t="s">
        <v>8</v>
      </c>
      <c r="K1" s="14" t="s">
        <v>46</v>
      </c>
    </row>
    <row r="2" spans="1:11" ht="241" customHeight="1" x14ac:dyDescent="0.25">
      <c r="A2" t="s">
        <v>24</v>
      </c>
      <c r="B2" t="s">
        <v>71</v>
      </c>
      <c r="C2" s="8"/>
      <c r="D2" s="8" t="s">
        <v>16</v>
      </c>
      <c r="E2" s="3" t="s">
        <v>25</v>
      </c>
      <c r="F2" s="15" t="s">
        <v>47</v>
      </c>
      <c r="G2" s="15" t="str">
        <f ca="1">TEXT(TODAY()+1,"mm/dd/yyyy")</f>
        <v>10/13/2026</v>
      </c>
      <c r="H2" s="16">
        <v>12</v>
      </c>
      <c r="I2" s="17">
        <v>2</v>
      </c>
      <c r="J2" s="18" t="str">
        <f ca="1">F2&amp;TEXT(H2,"0.00")&amp;" on "&amp;G2&amp;","&amp;K2</f>
        <v>Select Payment Plan Frequency,
Daily,
Select the date you wish to submit your first payment and it will recur every day after,
Divide your payment plan by...,
Number of Payments:,Divide the Balance Due into ,
Individual Amount:,Repeat this amount until the Balance Due is achieved: $, 
Step 4: Review Payment Plan,
1 Daily payment of $12.00 on 10/13/2026,A Convenience Fee will be added to each transaction issued for 1 Daily payment of 2.00 starting on 10/13/2026</v>
      </c>
      <c r="K2" s="19" t="str">
        <f ca="1">"A Convenience Fee will be added to each transaction issued for 1 Daily payment of "&amp;  TEXT(I2,"0.00")&amp;" starting on "&amp;G2</f>
        <v>A Convenience Fee will be added to each transaction issued for 1 Daily payment of 2.00 starting on 10/13/2026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0D6E-F7B1-4EC2-9E51-81301F31155A}">
  <dimension ref="A1:G2"/>
  <sheetViews>
    <sheetView workbookViewId="0">
      <selection activeCell="G2" sqref="G2"/>
    </sheetView>
  </sheetViews>
  <sheetFormatPr defaultRowHeight="12.5" x14ac:dyDescent="0.25"/>
  <cols>
    <col min="1" max="5" width="8.7265625" style="11" collapsed="1"/>
    <col min="6" max="6" width="37.6328125" style="11" customWidth="1" collapsed="1"/>
    <col min="7" max="7" width="36.90625" style="11" customWidth="1" collapsed="1"/>
    <col min="8" max="16384" width="8.7265625" style="11" collapsed="1"/>
  </cols>
  <sheetData>
    <row r="1" spans="1:7" x14ac:dyDescent="0.25">
      <c r="A1" s="10" t="s">
        <v>0</v>
      </c>
      <c r="B1" s="10" t="s">
        <v>1</v>
      </c>
      <c r="C1" s="10" t="s">
        <v>2</v>
      </c>
      <c r="D1" s="10" t="s">
        <v>3</v>
      </c>
      <c r="E1" s="10" t="s">
        <v>22</v>
      </c>
      <c r="F1" s="20" t="s">
        <v>42</v>
      </c>
      <c r="G1" s="20" t="s">
        <v>8</v>
      </c>
    </row>
    <row r="2" spans="1:7" ht="250" x14ac:dyDescent="0.25">
      <c r="A2" s="11" t="s">
        <v>24</v>
      </c>
      <c r="B2" s="11" t="s">
        <v>72</v>
      </c>
      <c r="C2" s="8"/>
      <c r="D2" s="8" t="s">
        <v>16</v>
      </c>
      <c r="E2" s="8" t="s">
        <v>25</v>
      </c>
      <c r="F2" s="15" t="s">
        <v>48</v>
      </c>
      <c r="G2" s="15" t="str">
        <f ca="1">F2&amp;TEXT(TODAY()+1,"mm/dd/yyyy")</f>
        <v>Select Payment Plan Frequency,
Quarterly,
Select the date you wish to submit your first payment and it will recur every three months on that day,
Note: Any payments associated with the payment plan that are scheduled on a date that does not exist (eg. February 30th, April 31st), will be processed on the first day of the following month.,
Divide your payment plan by...,
Number of Payments:,Divide the Balance Due into, 
Individual Amount:,	Repeat this amount until the Balance Due is achieved: $ ,
Step 4: Review Payment Plan
1 Quarterly payment of $12.00 on 10/13/2026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AE4A-C59E-4840-A715-CF562E29B9B2}">
  <dimension ref="A1:J2"/>
  <sheetViews>
    <sheetView workbookViewId="0">
      <selection activeCell="I5" sqref="I5"/>
    </sheetView>
  </sheetViews>
  <sheetFormatPr defaultRowHeight="12.5" x14ac:dyDescent="0.25"/>
  <cols>
    <col min="5" max="5" width="23.08984375" customWidth="1" collapsed="1"/>
    <col min="9" max="9" width="33" customWidth="1" collapsed="1"/>
    <col min="10" max="10" width="22.36328125" customWidth="1" collapsed="1"/>
  </cols>
  <sheetData>
    <row r="1" spans="1:10" ht="39" customHeight="1" x14ac:dyDescent="0.25">
      <c r="A1" s="2" t="s">
        <v>0</v>
      </c>
      <c r="B1" s="2" t="s">
        <v>1</v>
      </c>
      <c r="C1" s="2" t="s">
        <v>2</v>
      </c>
      <c r="D1" s="2" t="s">
        <v>3</v>
      </c>
      <c r="E1" s="14" t="s">
        <v>42</v>
      </c>
      <c r="F1" s="14" t="s">
        <v>1</v>
      </c>
      <c r="G1" s="14" t="s">
        <v>44</v>
      </c>
      <c r="H1" s="14" t="s">
        <v>45</v>
      </c>
      <c r="I1" s="14" t="s">
        <v>8</v>
      </c>
      <c r="J1" s="14" t="s">
        <v>46</v>
      </c>
    </row>
    <row r="2" spans="1:10" ht="269" customHeight="1" x14ac:dyDescent="0.25">
      <c r="A2" t="s">
        <v>24</v>
      </c>
      <c r="B2" t="s">
        <v>73</v>
      </c>
      <c r="C2" s="8"/>
      <c r="D2" s="8" t="s">
        <v>16</v>
      </c>
      <c r="E2" s="15" t="s">
        <v>49</v>
      </c>
      <c r="F2" s="15" t="str">
        <f ca="1">TEXT(TODAY()+1,"mm/dd/yyyy")</f>
        <v>10/13/2026</v>
      </c>
      <c r="G2" s="16">
        <v>12</v>
      </c>
      <c r="H2" s="17">
        <v>2</v>
      </c>
      <c r="I2" s="18" t="str">
        <f ca="1">E2&amp;TEXT(G2,"0.00")&amp;" on "&amp;F2&amp;","&amp;J2</f>
        <v>Select the date you wish to submit your payment,Divide your payment plan by...,
 Number of Payments:,	Divide the Balance Due into 
,payments,
 Individual Amount:,	Repeat this amount until the Balance Due is achieved: $, 
12.00,
Step 4: Review Payment Plan,
1 Deferred payment of $12.00 on 10/13/2026,A Convenience Fee will be added to each transaction issued for 1 Deferred payment of 2.00 starting on 10/13/2026</v>
      </c>
      <c r="J2" s="19" t="str">
        <f ca="1">"A Convenience Fee will be added to each transaction issued for 1 Deferred payment of "&amp;  TEXT(H2,"0.00")&amp;" starting on "&amp;F2</f>
        <v>A Convenience Fee will be added to each transaction issued for 1 Deferred payment of 2.00 starting on 10/13/2026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BA2EC-3F34-408F-ABDC-637D77D3C275}">
  <dimension ref="A1:K2"/>
  <sheetViews>
    <sheetView workbookViewId="0">
      <selection activeCell="H2" sqref="H2"/>
    </sheetView>
  </sheetViews>
  <sheetFormatPr defaultRowHeight="12.5" x14ac:dyDescent="0.25"/>
  <cols>
    <col min="1" max="5" width="8.7265625" style="11" collapsed="1"/>
    <col min="6" max="6" width="23.453125" style="11" customWidth="1" collapsed="1"/>
    <col min="7" max="9" width="8.7265625" style="11" collapsed="1"/>
    <col min="10" max="10" width="35" style="11" customWidth="1" collapsed="1"/>
    <col min="11" max="11" width="30.453125" style="11" customWidth="1" collapsed="1"/>
    <col min="12" max="16384" width="8.7265625" style="11" collapsed="1"/>
  </cols>
  <sheetData>
    <row r="1" spans="1:11" ht="40.5" customHeight="1" x14ac:dyDescent="0.25">
      <c r="A1" s="10" t="s">
        <v>0</v>
      </c>
      <c r="B1" s="10" t="s">
        <v>1</v>
      </c>
      <c r="C1" s="10" t="s">
        <v>2</v>
      </c>
      <c r="D1" s="10" t="s">
        <v>3</v>
      </c>
      <c r="E1" s="10" t="s">
        <v>22</v>
      </c>
      <c r="F1" s="20" t="s">
        <v>42</v>
      </c>
      <c r="G1" s="20" t="s">
        <v>1</v>
      </c>
      <c r="H1" s="20" t="s">
        <v>44</v>
      </c>
      <c r="I1" s="20" t="s">
        <v>45</v>
      </c>
      <c r="J1" s="20" t="s">
        <v>8</v>
      </c>
      <c r="K1" s="20" t="s">
        <v>46</v>
      </c>
    </row>
    <row r="2" spans="1:11" ht="291.5" customHeight="1" x14ac:dyDescent="0.25">
      <c r="A2" s="11" t="s">
        <v>24</v>
      </c>
      <c r="B2" s="11" t="s">
        <v>74</v>
      </c>
      <c r="C2" s="8"/>
      <c r="D2" s="8" t="s">
        <v>16</v>
      </c>
      <c r="E2" s="8" t="s">
        <v>25</v>
      </c>
      <c r="F2" s="15" t="s">
        <v>50</v>
      </c>
      <c r="G2" s="15" t="str">
        <f ca="1">TEXT(TODAY()+1,"mm/dd/yyyy")</f>
        <v>10/13/2026</v>
      </c>
      <c r="H2" s="16">
        <v>12</v>
      </c>
      <c r="I2" s="17">
        <v>2</v>
      </c>
      <c r="J2" s="18" t="str">
        <f ca="1">F2&amp;TEXT(H2,"0.00")&amp;" starting on "&amp;G2&amp;","&amp;K2</f>
        <v>Recurring Fixed Amount Payment - The same amount is paid at a determined frequency.,
 Automatic Payment - Bills are automatically paid 3 calendar days before the Due Date.,Select Payment Plan Frequency,
Daily,
Select the date you wish to submit your first payment and it will recur every day after,
Step 4: Review Payment Plan,
Daily payments of $12.00 starting on 10/13/2026,A Convenience Fee will be added to each transaction issued for Daily payment of 2.00 starting on 10/13/2026 ,Individual Convenience Fee Amount:,	
Total Convenience Fees Paid:,	
Total Paid under this plan:</v>
      </c>
      <c r="K2" s="15" t="str">
        <f ca="1">"A Convenience Fee will be added to each transaction issued for Daily payment of "&amp;  TEXT(I2,"0.00")&amp;" starting on "&amp;G2&amp;" ,Individual Convenience Fee Amount:,	
Total Convenience Fees Paid:,	
Total Paid under this plan:"</f>
        <v>A Convenience Fee will be added to each transaction issued for Daily payment of 2.00 starting on 10/13/2026 ,Individual Convenience Fee Amount:,	
Total Convenience Fees Paid:,	
Total Paid under this plan:</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919D0-FFDE-411A-9093-2BF282B4F89C}">
  <dimension ref="A1:K2"/>
  <sheetViews>
    <sheetView workbookViewId="0">
      <selection activeCell="I2" sqref="I2"/>
    </sheetView>
  </sheetViews>
  <sheetFormatPr defaultRowHeight="12.5" x14ac:dyDescent="0.25"/>
  <sheetData>
    <row r="1" spans="1:11" ht="37.5" x14ac:dyDescent="0.25">
      <c r="A1" s="2" t="s">
        <v>0</v>
      </c>
      <c r="B1" s="2" t="s">
        <v>1</v>
      </c>
      <c r="C1" s="2" t="s">
        <v>2</v>
      </c>
      <c r="D1" s="2" t="s">
        <v>3</v>
      </c>
      <c r="E1" s="2" t="s">
        <v>22</v>
      </c>
      <c r="F1" s="14" t="s">
        <v>42</v>
      </c>
      <c r="G1" s="14" t="s">
        <v>1</v>
      </c>
      <c r="H1" s="14" t="s">
        <v>44</v>
      </c>
      <c r="I1" s="14" t="s">
        <v>45</v>
      </c>
      <c r="J1" s="14" t="s">
        <v>8</v>
      </c>
      <c r="K1" s="14" t="s">
        <v>46</v>
      </c>
    </row>
    <row r="2" spans="1:11" ht="409.5" x14ac:dyDescent="0.25">
      <c r="A2" t="s">
        <v>24</v>
      </c>
      <c r="B2" t="s">
        <v>75</v>
      </c>
      <c r="C2" s="8"/>
      <c r="D2" s="8" t="s">
        <v>16</v>
      </c>
      <c r="E2" s="3" t="s">
        <v>25</v>
      </c>
      <c r="F2" s="15" t="s">
        <v>51</v>
      </c>
      <c r="G2" s="15" t="str">
        <f ca="1">TEXT(TODAY()+1,"mm/dd/yyyy")</f>
        <v>10/13/2026</v>
      </c>
      <c r="H2" s="16">
        <v>12</v>
      </c>
      <c r="I2" s="17">
        <v>2</v>
      </c>
      <c r="J2" s="18" t="str">
        <f ca="1">F2&amp;TEXT(H2,"0.00")&amp;" on "&amp;G2&amp;","&amp;K2</f>
        <v>Select Payment Plan Frequency,
Deferred,
Select the date you wish to submit your payment,
Step 4: Review Payment Plan,
1 Deferred payment of $12.00 on 10/13/2026,A Convenience Fee will be added to each transaction issued for 1 Deferred payment of 2.00 starting on 10/13/2026 ,Individual Convenience Fee Amount:,	
Total Convenience Fees Paid:,	
Total Paid under this plan:</v>
      </c>
      <c r="K2" s="19" t="str">
        <f ca="1">"A Convenience Fee will be added to each transaction issued for 1 Deferred payment of "&amp;  TEXT(I2,"0.00")&amp;" starting on "&amp;G2&amp;" ,Individual Convenience Fee Amount:,	
Total Convenience Fees Paid:,	
Total Paid under this plan:"</f>
        <v>A Convenience Fee will be added to each transaction issued for 1 Deferred payment of 2.00 starting on 10/13/2026 ,Individual Convenience Fee Amount:,	
Total Convenience Fees Paid:,	
Total Paid under this plan:</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22AAA-B408-4BD0-AFCC-6311E82FCB07}">
  <dimension ref="A1:E2"/>
  <sheetViews>
    <sheetView workbookViewId="0">
      <selection activeCell="F20" sqref="F20"/>
    </sheetView>
  </sheetViews>
  <sheetFormatPr defaultRowHeight="12.5" x14ac:dyDescent="0.25"/>
  <sheetData>
    <row r="1" spans="1:5" x14ac:dyDescent="0.25">
      <c r="A1" s="2" t="s">
        <v>0</v>
      </c>
      <c r="B1" s="2" t="s">
        <v>1</v>
      </c>
      <c r="C1" s="2" t="s">
        <v>2</v>
      </c>
      <c r="D1" s="2" t="s">
        <v>3</v>
      </c>
      <c r="E1" s="2" t="s">
        <v>22</v>
      </c>
    </row>
    <row r="2" spans="1:5" x14ac:dyDescent="0.25">
      <c r="A2" t="s">
        <v>24</v>
      </c>
      <c r="B2" t="s">
        <v>59</v>
      </c>
      <c r="C2" s="8"/>
      <c r="D2" s="8" t="s">
        <v>16</v>
      </c>
      <c r="E2" s="3" t="s">
        <v>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5F12-B56F-4D06-B670-F5B0F040BD4C}">
  <dimension ref="A1:E2"/>
  <sheetViews>
    <sheetView workbookViewId="0">
      <selection activeCell="E18" sqref="E18"/>
    </sheetView>
  </sheetViews>
  <sheetFormatPr defaultRowHeight="12.5" x14ac:dyDescent="0.25"/>
  <sheetData>
    <row r="1" spans="1:5" x14ac:dyDescent="0.25">
      <c r="A1" s="2" t="s">
        <v>0</v>
      </c>
      <c r="B1" s="2" t="s">
        <v>1</v>
      </c>
      <c r="C1" s="2" t="s">
        <v>2</v>
      </c>
      <c r="D1" s="2" t="s">
        <v>3</v>
      </c>
      <c r="E1" s="2" t="s">
        <v>22</v>
      </c>
    </row>
    <row r="2" spans="1:5" x14ac:dyDescent="0.25">
      <c r="A2" t="s">
        <v>24</v>
      </c>
      <c r="B2" t="s">
        <v>58</v>
      </c>
      <c r="C2" s="8"/>
      <c r="D2" s="8" t="s">
        <v>16</v>
      </c>
      <c r="E2" s="3" t="s">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28A9-3334-4E80-A64C-A7B4C1579E51}">
  <dimension ref="A1:G4"/>
  <sheetViews>
    <sheetView tabSelected="1" workbookViewId="0">
      <selection activeCell="A2" sqref="A2:A3"/>
    </sheetView>
  </sheetViews>
  <sheetFormatPr defaultRowHeight="12.5" x14ac:dyDescent="0.25"/>
  <cols>
    <col min="1" max="1" width="8.7265625" style="11"/>
    <col min="2" max="2" width="25.36328125" style="11" bestFit="1" customWidth="1"/>
    <col min="3" max="4" width="8.7265625" style="11"/>
    <col min="5" max="5" width="11.90625" style="11" bestFit="1" customWidth="1" collapsed="1"/>
    <col min="6" max="6" width="19.81640625" style="11" bestFit="1" customWidth="1" collapsed="1"/>
    <col min="7" max="7" width="79.6328125" style="11" customWidth="1" collapsed="1"/>
    <col min="8" max="16384" width="8.7265625" style="11"/>
  </cols>
  <sheetData>
    <row r="1" spans="1:7" x14ac:dyDescent="0.25">
      <c r="A1" s="10" t="s">
        <v>0</v>
      </c>
      <c r="B1" s="10" t="s">
        <v>1</v>
      </c>
      <c r="C1" s="10" t="s">
        <v>2</v>
      </c>
      <c r="D1" s="10" t="s">
        <v>3</v>
      </c>
      <c r="E1" s="10" t="s">
        <v>52</v>
      </c>
      <c r="F1" s="20" t="s">
        <v>22</v>
      </c>
      <c r="G1" s="20" t="s">
        <v>8</v>
      </c>
    </row>
    <row r="2" spans="1:7" ht="46" customHeight="1" x14ac:dyDescent="0.25">
      <c r="A2" s="11" t="s">
        <v>24</v>
      </c>
      <c r="B2" s="11" t="s">
        <v>76</v>
      </c>
      <c r="C2" s="8"/>
      <c r="D2" s="8" t="s">
        <v>16</v>
      </c>
      <c r="E2" s="8" t="s">
        <v>40</v>
      </c>
      <c r="F2" s="11" t="s">
        <v>25</v>
      </c>
      <c r="G2" s="15" t="s">
        <v>62</v>
      </c>
    </row>
    <row r="3" spans="1:7" ht="51" customHeight="1" x14ac:dyDescent="0.25">
      <c r="A3" s="11" t="s">
        <v>24</v>
      </c>
      <c r="B3" s="11" t="s">
        <v>77</v>
      </c>
      <c r="D3" s="8" t="s">
        <v>16</v>
      </c>
      <c r="E3" s="11" t="s">
        <v>53</v>
      </c>
      <c r="G3" s="15" t="s">
        <v>63</v>
      </c>
    </row>
    <row r="4" spans="1:7" x14ac:dyDescent="0.25">
      <c r="A4" s="11" t="s">
        <v>24</v>
      </c>
      <c r="B4" s="11" t="s">
        <v>78</v>
      </c>
      <c r="D4" s="8" t="s">
        <v>16</v>
      </c>
      <c r="E4" s="11" t="s">
        <v>54</v>
      </c>
      <c r="G4" s="11" t="s">
        <v>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346E-627A-4484-9036-DF9C330EC51E}">
  <dimension ref="A1:G2"/>
  <sheetViews>
    <sheetView workbookViewId="0">
      <selection activeCell="F13" sqref="F13"/>
    </sheetView>
  </sheetViews>
  <sheetFormatPr defaultRowHeight="12.5" x14ac:dyDescent="0.25"/>
  <cols>
    <col min="6" max="6" width="55.1796875" bestFit="1" customWidth="1"/>
    <col min="7" max="7" width="15.6328125" customWidth="1"/>
  </cols>
  <sheetData>
    <row r="1" spans="1:7" ht="25" x14ac:dyDescent="0.25">
      <c r="A1" s="2" t="s">
        <v>0</v>
      </c>
      <c r="B1" s="2" t="s">
        <v>1</v>
      </c>
      <c r="C1" s="2" t="s">
        <v>2</v>
      </c>
      <c r="D1" s="2" t="s">
        <v>3</v>
      </c>
      <c r="E1" s="2" t="s">
        <v>22</v>
      </c>
      <c r="F1" s="14" t="s">
        <v>8</v>
      </c>
      <c r="G1" s="14" t="s">
        <v>23</v>
      </c>
    </row>
    <row r="2" spans="1:7" x14ac:dyDescent="0.25">
      <c r="A2" t="s">
        <v>24</v>
      </c>
      <c r="B2" t="s">
        <v>69</v>
      </c>
      <c r="C2" s="8"/>
      <c r="D2" s="8" t="s">
        <v>16</v>
      </c>
      <c r="E2" s="3" t="s">
        <v>25</v>
      </c>
      <c r="F2" t="s">
        <v>61</v>
      </c>
      <c r="G2"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UIVerification-RegisterPayPage</vt:lpstr>
      <vt:lpstr>UiVerificationForAccountProfile</vt:lpstr>
      <vt:lpstr>UiVerificationForAddUser</vt:lpstr>
      <vt:lpstr>UIVerificationPendingBillsPage</vt:lpstr>
      <vt:lpstr>UiVerificationSPAP</vt:lpstr>
      <vt:lpstr>UiVerificationSPBillsLabel</vt:lpstr>
      <vt:lpstr>UiVerificationSPInstallmentAnua</vt:lpstr>
      <vt:lpstr>UiVerificationSPIPDaily</vt:lpstr>
      <vt:lpstr>UiVerificationSPInstallmentQuar</vt:lpstr>
      <vt:lpstr>UiVerificationSPIPDeferred</vt:lpstr>
      <vt:lpstr>UiVerificationSPRecDaily</vt:lpstr>
      <vt:lpstr>UiVerificationSPRecDeferred</vt:lpstr>
      <vt:lpstr>CreateDeletePayer</vt:lpstr>
      <vt:lpstr>CreateDeleteProfileOwner</vt:lpstr>
      <vt:lpstr>VerifyPasswordPolicy</vt:lpstr>
      <vt:lpstr>VerifyUsernameLength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Bhushan</dc:creator>
  <cp:lastModifiedBy>Bhushan, Bharat</cp:lastModifiedBy>
  <dcterms:created xsi:type="dcterms:W3CDTF">2025-12-10T17:53:41Z</dcterms:created>
  <dcterms:modified xsi:type="dcterms:W3CDTF">2026-10-12T09:44:26Z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b6ec9d-96dd-4c84-a7f2-f29de681739c_Enabled">
    <vt:lpwstr>true</vt:lpwstr>
  </property>
  <property fmtid="{D5CDD505-2E9C-101B-9397-08002B2CF9AE}" pid="3" name="MSIP_Label_c8b6ec9d-96dd-4c84-a7f2-f29de681739c_SetDate">
    <vt:lpwstr>2025-12-10T17:55:38Z</vt:lpwstr>
  </property>
  <property fmtid="{D5CDD505-2E9C-101B-9397-08002B2CF9AE}" pid="4" name="MSIP_Label_c8b6ec9d-96dd-4c84-a7f2-f29de681739c_Method">
    <vt:lpwstr>Privileged</vt:lpwstr>
  </property>
  <property fmtid="{D5CDD505-2E9C-101B-9397-08002B2CF9AE}" pid="5" name="MSIP_Label_c8b6ec9d-96dd-4c84-a7f2-f29de681739c_Name">
    <vt:lpwstr>Public - No Label</vt:lpwstr>
  </property>
  <property fmtid="{D5CDD505-2E9C-101B-9397-08002B2CF9AE}" pid="6" name="MSIP_Label_c8b6ec9d-96dd-4c84-a7f2-f29de681739c_SiteId">
    <vt:lpwstr>1f7c1878-7408-4f86-b429-cf17f96a717c</vt:lpwstr>
  </property>
  <property fmtid="{D5CDD505-2E9C-101B-9397-08002B2CF9AE}" pid="7" name="MSIP_Label_c8b6ec9d-96dd-4c84-a7f2-f29de681739c_ActionId">
    <vt:lpwstr>d9fcecc4-cb82-4ad9-ba53-680c9630ba3c</vt:lpwstr>
  </property>
  <property fmtid="{D5CDD505-2E9C-101B-9397-08002B2CF9AE}" pid="8" name="MSIP_Label_c8b6ec9d-96dd-4c84-a7f2-f29de681739c_ContentBits">
    <vt:lpwstr>0</vt:lpwstr>
  </property>
  <property fmtid="{D5CDD505-2E9C-101B-9397-08002B2CF9AE}" pid="9" name="MSIP_Label_c8b6ec9d-96dd-4c84-a7f2-f29de681739c_Tag">
    <vt:lpwstr>10, 0, 1, 1</vt:lpwstr>
  </property>
</Properties>
</file>